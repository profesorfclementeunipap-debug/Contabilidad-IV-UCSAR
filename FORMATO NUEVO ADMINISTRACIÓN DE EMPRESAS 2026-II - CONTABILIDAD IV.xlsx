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Adm" sheetId="1" state="visible" r:id="rId1"/>
  </sheets>
  <definedNames>
    <definedName name="_xlnm.Print_Area" localSheetId="0">'Adm'!$A$1:$P$41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rgb="FF000000"/>
      <sz val="11"/>
    </font>
    <font>
      <name val="Calibri"/>
      <sz val="11"/>
    </font>
    <font>
      <name val="Calibri"/>
      <color rgb="FF000000"/>
      <sz val="11"/>
    </font>
    <font>
      <name val="Arial"/>
      <b val="1"/>
      <color theme="1"/>
      <sz val="10"/>
    </font>
    <font>
      <name val="Arial"/>
      <color rgb="FF000000"/>
      <sz val="11"/>
    </font>
    <font>
      <name val="Arial"/>
      <color theme="1"/>
      <sz val="10"/>
    </font>
    <font>
      <name val="Calibri"/>
      <color theme="1"/>
      <sz val="11"/>
    </font>
    <font>
      <name val="Calibri"/>
      <b val="1"/>
      <i val="1"/>
      <color theme="1"/>
      <sz val="11"/>
    </font>
    <font>
      <name val="Times New Roman"/>
      <b val="1"/>
      <color theme="1"/>
      <sz val="7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13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right" vertical="center" wrapText="1"/>
    </xf>
    <xf numFmtId="0" fontId="3" fillId="0" borderId="13" applyAlignment="1" pivotButton="0" quotePrefix="0" xfId="0">
      <alignment horizontal="right" vertical="center" wrapText="1"/>
    </xf>
    <xf numFmtId="0" fontId="7" fillId="0" borderId="13" applyAlignment="1" pivotButton="0" quotePrefix="0" xfId="0">
      <alignment horizontal="right" wrapText="1"/>
    </xf>
    <xf numFmtId="0" fontId="4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vertical="center" wrapText="1"/>
    </xf>
    <xf numFmtId="0" fontId="5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wrapText="1"/>
    </xf>
    <xf numFmtId="0" fontId="2" fillId="0" borderId="7" pivotButton="0" quotePrefix="0" xfId="0"/>
    <xf numFmtId="0" fontId="2" fillId="0" borderId="16" pivotButton="0" quotePrefix="0" xfId="0"/>
    <xf numFmtId="9" fontId="3" fillId="0" borderId="4" applyAlignment="1" pivotButton="0" quotePrefix="0" xfId="0">
      <alignment horizontal="center" wrapText="1"/>
    </xf>
    <xf numFmtId="0" fontId="1" fillId="0" borderId="4" applyAlignment="1" pivotButton="0" quotePrefix="0" xfId="0">
      <alignment horizontal="center" vertical="center" textRotation="90" wrapText="1"/>
    </xf>
    <xf numFmtId="0" fontId="1" fillId="0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1" fillId="0" borderId="1" applyAlignment="1" pivotButton="0" quotePrefix="0" xfId="0">
      <alignment vertical="center" wrapText="1"/>
    </xf>
    <xf numFmtId="0" fontId="2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5" pivotButton="0" quotePrefix="0" xfId="0"/>
    <xf numFmtId="0" fontId="0" fillId="0" borderId="0" pivotButton="0" quotePrefix="0" xfId="0"/>
    <xf numFmtId="0" fontId="2" fillId="0" borderId="6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3" fillId="0" borderId="4" applyAlignment="1" pivotButton="0" quotePrefix="0" xfId="0">
      <alignment wrapText="1"/>
    </xf>
    <xf numFmtId="0" fontId="1" fillId="0" borderId="11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" fillId="0" borderId="17" pivotButton="0" quotePrefix="0" xfId="0"/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3" applyAlignment="1" pivotButton="0" quotePrefix="0" xfId="0">
      <alignment wrapText="1"/>
    </xf>
    <xf numFmtId="9" fontId="3" fillId="0" borderId="13" applyAlignment="1" pivotButton="0" quotePrefix="0" xfId="0">
      <alignment horizontal="center" wrapText="1"/>
    </xf>
    <xf numFmtId="0" fontId="3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17" applyAlignment="1" pivotButton="0" quotePrefix="0" xfId="0">
      <alignment horizontal="right" vertical="center" wrapText="1"/>
    </xf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K13" authorId="0" shapeId="0">
      <text>
        <t>del ejercicios y sucursales realizo el orden de las transacciones. en la hoja del libro diario. perfecto
======</t>
      </text>
    </comment>
    <comment ref="K14" authorId="0" shapeId="0">
      <text>
        <t>del ejercicios y sucursales realizo una copia exacta del modelo que se envío a los expositores 
======</t>
      </text>
    </comment>
    <comment ref="K16" authorId="0" shapeId="0">
      <text>
        <t>del ejercicios y sucursales realizo una copia exacta del modelo que se envío a los expositores.    aunque lo hizo manualmente.
======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85725</colOff>
      <row>0</row>
      <rowOff>85725</rowOff>
    </from>
    <ext cx="619125" cy="7715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1"/>
  <sheetViews>
    <sheetView tabSelected="1" workbookViewId="0">
      <selection activeCell="C10" sqref="C10:D11"/>
    </sheetView>
  </sheetViews>
  <sheetFormatPr baseColWidth="10" defaultColWidth="14.44140625" defaultRowHeight="15" customHeight="1"/>
  <cols>
    <col width="4.44140625" customWidth="1" style="32" min="1" max="1"/>
    <col width="26" customWidth="1" style="32" min="2" max="2"/>
    <col width="24.5546875" customWidth="1" style="32" min="3" max="3"/>
    <col width="13.44140625" customWidth="1" style="32" min="4" max="4"/>
    <col width="7.109375" customWidth="1" style="32" min="5" max="5"/>
    <col width="6.109375" customWidth="1" style="32" min="6" max="6"/>
    <col width="7.6640625" customWidth="1" style="32" min="7" max="7"/>
    <col width="5.6640625" customWidth="1" style="32" min="8" max="8"/>
    <col width="6.6640625" customWidth="1" style="32" min="9" max="9"/>
    <col width="5.5546875" customWidth="1" style="32" min="10" max="10"/>
    <col width="6.6640625" customWidth="1" style="32" min="11" max="11"/>
    <col width="5.5546875" customWidth="1" style="32" min="12" max="12"/>
    <col width="6.6640625" customWidth="1" style="32" min="13" max="13"/>
    <col width="5.5546875" customWidth="1" style="32" min="14" max="14"/>
    <col width="7.88671875" customWidth="1" style="32" min="15" max="15"/>
    <col width="32.88671875" customWidth="1" style="32" min="16" max="16"/>
    <col width="11" customWidth="1" style="32" min="17" max="26"/>
  </cols>
  <sheetData>
    <row r="1" ht="14.4" customHeight="1" s="32">
      <c r="A1" s="43" t="inlineStr">
        <is>
          <t>Arquidiócesis de Caracas
Pontificia Universidad Católica Santa Rosa
“La Universidad del Diálogo y la Paz”
Escuela de Administración de Empresas 
Período Académico 2026-II</t>
        </is>
      </c>
      <c r="B1" s="44" t="n"/>
      <c r="C1" s="44" t="n"/>
      <c r="D1" s="45" t="n"/>
      <c r="E1" s="46" t="inlineStr">
        <is>
          <t>EVAL 1</t>
        </is>
      </c>
      <c r="F1" s="47" t="n">
        <v>0.2</v>
      </c>
      <c r="G1" s="48" t="inlineStr">
        <is>
          <t>EVAL 2</t>
        </is>
      </c>
      <c r="H1" s="47" t="n">
        <v>0.2</v>
      </c>
      <c r="I1" s="48" t="inlineStr">
        <is>
          <t>EVAL 3</t>
        </is>
      </c>
      <c r="J1" s="47" t="n">
        <v>0.2</v>
      </c>
      <c r="K1" s="48" t="inlineStr">
        <is>
          <t>EVAL 4</t>
        </is>
      </c>
      <c r="L1" s="47" t="n">
        <v>0.2</v>
      </c>
      <c r="M1" s="48" t="inlineStr">
        <is>
          <t>EVAL 5</t>
        </is>
      </c>
      <c r="N1" s="47" t="n">
        <v>0.2</v>
      </c>
      <c r="O1" s="49" t="inlineStr">
        <is>
          <t>CALIFICACIÓN DEFINITIVA</t>
        </is>
      </c>
      <c r="P1" s="49" t="inlineStr">
        <is>
          <t>FIRMA DEL ESTUDIANTE</t>
        </is>
      </c>
    </row>
    <row r="2" ht="14.4" customHeight="1" s="32">
      <c r="A2" s="50" t="n"/>
      <c r="D2" s="51" t="n"/>
      <c r="E2" s="52" t="n"/>
      <c r="F2" s="52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</row>
    <row r="3" ht="14.4" customHeight="1" s="32">
      <c r="A3" s="50" t="n"/>
      <c r="D3" s="51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</row>
    <row r="4" ht="14.4" customHeight="1" s="32">
      <c r="A4" s="50" t="n"/>
      <c r="D4" s="51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</row>
    <row r="5" ht="14.4" customHeight="1" s="32">
      <c r="A5" s="50" t="n"/>
      <c r="D5" s="51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</row>
    <row r="6" ht="14.4" customHeight="1" s="32">
      <c r="A6" s="50" t="n"/>
      <c r="D6" s="51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</row>
    <row r="7" ht="14.4" customHeight="1" s="32">
      <c r="A7" s="50" t="n"/>
      <c r="D7" s="51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</row>
    <row r="8" ht="14.4" customHeight="1" s="32">
      <c r="A8" s="53" t="n"/>
      <c r="B8" s="54" t="n"/>
      <c r="C8" s="54" t="n"/>
      <c r="D8" s="55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</row>
    <row r="9" ht="14.4" customHeight="1" s="32">
      <c r="A9" s="2" t="inlineStr">
        <is>
          <t xml:space="preserve">PERÍODO:    2026-II               </t>
        </is>
      </c>
      <c r="B9" s="56" t="n"/>
      <c r="C9" s="2" t="inlineStr">
        <is>
          <t xml:space="preserve">SECCIÓN:  </t>
        </is>
      </c>
      <c r="D9" s="2" t="inlineStr">
        <is>
          <t>N04AB</t>
        </is>
      </c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</row>
    <row r="10" ht="14.4" customHeight="1" s="32">
      <c r="A10" s="2" t="inlineStr">
        <is>
          <t xml:space="preserve">UNIDAD CURRICULAR:         </t>
        </is>
      </c>
      <c r="B10" s="56" t="n"/>
      <c r="C10" s="43" t="inlineStr">
        <is>
          <t>CONTABILIDAD IV</t>
        </is>
      </c>
      <c r="D10" s="56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</row>
    <row r="11" ht="14.4" customHeight="1" s="32">
      <c r="A11" s="57" t="inlineStr">
        <is>
          <t xml:space="preserve">PROFESOR (A):         </t>
        </is>
      </c>
      <c r="B11" s="45" t="n"/>
      <c r="C11" s="58" t="inlineStr">
        <is>
          <t>FRANK CLEMENTE</t>
        </is>
      </c>
      <c r="D11" s="45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</row>
    <row r="12" ht="14.4" customHeight="1" s="32">
      <c r="A12" s="3" t="inlineStr">
        <is>
          <t>N°</t>
        </is>
      </c>
      <c r="B12" s="4" t="inlineStr">
        <is>
          <t xml:space="preserve">APELLIDOS </t>
        </is>
      </c>
      <c r="C12" s="4" t="inlineStr">
        <is>
          <t>NOMBRES</t>
        </is>
      </c>
      <c r="D12" s="4" t="inlineStr">
        <is>
          <t>CÉDULA</t>
        </is>
      </c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 ht="21" customHeight="1" s="32">
      <c r="A13" s="5" t="inlineStr">
        <is>
          <t xml:space="preserve">1.      </t>
        </is>
      </c>
      <c r="B13" s="14" t="n"/>
      <c r="C13" s="14" t="n"/>
      <c r="D13" s="7" t="n"/>
      <c r="E13" s="9" t="n"/>
      <c r="F13" s="9">
        <f>E13*20%</f>
        <v/>
      </c>
      <c r="G13" s="9" t="n"/>
      <c r="H13" s="9">
        <f>G13*20%</f>
        <v/>
      </c>
      <c r="I13" s="10" t="n"/>
      <c r="J13" s="9">
        <f>I13*20%</f>
        <v/>
      </c>
      <c r="K13" s="10" t="n"/>
      <c r="L13" s="9">
        <f>K13*20%</f>
        <v/>
      </c>
      <c r="M13" s="9" t="n"/>
      <c r="N13" s="9">
        <f>M13*20%</f>
        <v/>
      </c>
      <c r="O13" s="9">
        <f>ROUND(F13+H13+J13+L13+N13,0)</f>
        <v/>
      </c>
      <c r="P13" s="9" t="n"/>
    </row>
    <row r="14" ht="21" customHeight="1" s="32">
      <c r="A14" s="11" t="inlineStr">
        <is>
          <t xml:space="preserve">2.      </t>
        </is>
      </c>
      <c r="B14" s="14" t="n"/>
      <c r="C14" s="14" t="n"/>
      <c r="D14" s="15" t="n"/>
      <c r="E14" s="9" t="n"/>
      <c r="F14" s="9">
        <f>E14*20%</f>
        <v/>
      </c>
      <c r="G14" s="9" t="n"/>
      <c r="H14" s="9">
        <f>G14*20%</f>
        <v/>
      </c>
      <c r="I14" s="10" t="n"/>
      <c r="J14" s="9">
        <f>I14*20%</f>
        <v/>
      </c>
      <c r="K14" s="10" t="n"/>
      <c r="L14" s="9">
        <f>K14*20%</f>
        <v/>
      </c>
      <c r="M14" s="9" t="n"/>
      <c r="N14" s="9">
        <f>M14*20%</f>
        <v/>
      </c>
      <c r="O14" s="9">
        <f>ROUND(F14+H14+J14+L14+N14,0)</f>
        <v/>
      </c>
      <c r="P14" s="9" t="n"/>
    </row>
    <row r="15" ht="21" customHeight="1" s="32">
      <c r="A15" s="11" t="inlineStr">
        <is>
          <t xml:space="preserve">3.      </t>
        </is>
      </c>
      <c r="B15" s="14" t="n"/>
      <c r="C15" s="14" t="n"/>
      <c r="D15" s="15" t="n"/>
      <c r="E15" s="9" t="n"/>
      <c r="F15" s="9">
        <f>E15*20%</f>
        <v/>
      </c>
      <c r="G15" s="9" t="n"/>
      <c r="H15" s="9">
        <f>G15*20%</f>
        <v/>
      </c>
      <c r="I15" s="10" t="n"/>
      <c r="J15" s="9">
        <f>I15*20%</f>
        <v/>
      </c>
      <c r="K15" s="10" t="n"/>
      <c r="L15" s="9">
        <f>K15*20%</f>
        <v/>
      </c>
      <c r="M15" s="9" t="n"/>
      <c r="N15" s="9">
        <f>M15*20%</f>
        <v/>
      </c>
      <c r="O15" s="9">
        <f>ROUND(F15+H15+J15+L15+N15,0)</f>
        <v/>
      </c>
      <c r="P15" s="9" t="n"/>
    </row>
    <row r="16" ht="21" customHeight="1" s="32">
      <c r="A16" s="11" t="inlineStr">
        <is>
          <t xml:space="preserve">4.      </t>
        </is>
      </c>
      <c r="B16" s="14" t="n"/>
      <c r="C16" s="14" t="n"/>
      <c r="D16" s="15" t="n"/>
      <c r="E16" s="9" t="n"/>
      <c r="F16" s="9">
        <f>E16*20%</f>
        <v/>
      </c>
      <c r="G16" s="9" t="n"/>
      <c r="H16" s="9">
        <f>G16*20%</f>
        <v/>
      </c>
      <c r="I16" s="10" t="n"/>
      <c r="J16" s="9">
        <f>I16*20%</f>
        <v/>
      </c>
      <c r="K16" s="10" t="n"/>
      <c r="L16" s="9">
        <f>K16*20%</f>
        <v/>
      </c>
      <c r="M16" s="9" t="n"/>
      <c r="N16" s="9">
        <f>M16*20%</f>
        <v/>
      </c>
      <c r="O16" s="9">
        <f>ROUND(F16+H16+J16+L16+N16,0)</f>
        <v/>
      </c>
      <c r="P16" s="9" t="n"/>
    </row>
    <row r="17" hidden="1" ht="21" customHeight="1" s="32">
      <c r="A17" s="11" t="inlineStr">
        <is>
          <t xml:space="preserve">5.      </t>
        </is>
      </c>
      <c r="B17" s="13" t="n"/>
      <c r="C17" s="14" t="n"/>
      <c r="D17" s="15" t="n"/>
      <c r="E17" s="9" t="n"/>
      <c r="F17" s="9">
        <f>E17*20%</f>
        <v/>
      </c>
      <c r="G17" s="9" t="n"/>
      <c r="H17" s="9">
        <f>G17*20%</f>
        <v/>
      </c>
      <c r="I17" s="10" t="n"/>
      <c r="J17" s="9">
        <f>I17*20%</f>
        <v/>
      </c>
      <c r="K17" s="10" t="n"/>
      <c r="L17" s="9">
        <f>K17*20%</f>
        <v/>
      </c>
      <c r="M17" s="9" t="n"/>
      <c r="N17" s="9">
        <f>M17*20%</f>
        <v/>
      </c>
      <c r="O17" s="9">
        <f>ROUND(F17+H17+J17+L17+N17,0)</f>
        <v/>
      </c>
      <c r="P17" s="9" t="n"/>
    </row>
    <row r="18" hidden="1" ht="21" customHeight="1" s="32">
      <c r="A18" s="11" t="inlineStr">
        <is>
          <t xml:space="preserve">6.      </t>
        </is>
      </c>
      <c r="B18" s="13" t="n"/>
      <c r="C18" s="14" t="n"/>
      <c r="D18" s="15" t="n"/>
      <c r="E18" s="9" t="n"/>
      <c r="F18" s="9">
        <f>E18*20%</f>
        <v/>
      </c>
      <c r="G18" s="9" t="n"/>
      <c r="H18" s="9">
        <f>G18*20%</f>
        <v/>
      </c>
      <c r="I18" s="10" t="n"/>
      <c r="J18" s="9">
        <f>I18*20%</f>
        <v/>
      </c>
      <c r="K18" s="10" t="n"/>
      <c r="L18" s="9">
        <f>K18*20%</f>
        <v/>
      </c>
      <c r="M18" s="9" t="n"/>
      <c r="N18" s="9">
        <f>M18*20%</f>
        <v/>
      </c>
      <c r="O18" s="9">
        <f>ROUND(F18+H18+J18+L18+N18,0)</f>
        <v/>
      </c>
      <c r="P18" s="9" t="n"/>
    </row>
    <row r="19" hidden="1" ht="21" customHeight="1" s="32">
      <c r="A19" s="11" t="inlineStr">
        <is>
          <t xml:space="preserve">7.      </t>
        </is>
      </c>
      <c r="B19" s="13" t="n"/>
      <c r="C19" s="14" t="n"/>
      <c r="D19" s="15" t="n"/>
      <c r="E19" s="9" t="n"/>
      <c r="F19" s="9">
        <f>E19*20%</f>
        <v/>
      </c>
      <c r="G19" s="9" t="n"/>
      <c r="H19" s="9">
        <f>G19*20%</f>
        <v/>
      </c>
      <c r="I19" s="9" t="n"/>
      <c r="J19" s="9">
        <f>I19*20%</f>
        <v/>
      </c>
      <c r="K19" s="9" t="n"/>
      <c r="L19" s="9">
        <f>K19*20%</f>
        <v/>
      </c>
      <c r="M19" s="9" t="n"/>
      <c r="N19" s="9">
        <f>M19*20%</f>
        <v/>
      </c>
      <c r="O19" s="9">
        <f>ROUND(F19+H19+J19+L19+N19,0)</f>
        <v/>
      </c>
      <c r="P19" s="9" t="n"/>
    </row>
    <row r="20" hidden="1" ht="21" customHeight="1" s="32">
      <c r="A20" s="11" t="inlineStr">
        <is>
          <t xml:space="preserve">8.      </t>
        </is>
      </c>
      <c r="B20" s="13" t="n"/>
      <c r="C20" s="14" t="n"/>
      <c r="D20" s="15" t="n"/>
      <c r="E20" s="9" t="n"/>
      <c r="F20" s="9">
        <f>E20*20%</f>
        <v/>
      </c>
      <c r="G20" s="9" t="n"/>
      <c r="H20" s="9">
        <f>G20*20%</f>
        <v/>
      </c>
      <c r="I20" s="9" t="n"/>
      <c r="J20" s="9">
        <f>I20*20%</f>
        <v/>
      </c>
      <c r="K20" s="9" t="n"/>
      <c r="L20" s="9">
        <f>K20*20%</f>
        <v/>
      </c>
      <c r="M20" s="9" t="n"/>
      <c r="N20" s="9">
        <f>M20*20%</f>
        <v/>
      </c>
      <c r="O20" s="9">
        <f>ROUND(F20+H20+J20+L20+N20,0)</f>
        <v/>
      </c>
      <c r="P20" s="9" t="n"/>
    </row>
    <row r="21" hidden="1" ht="21" customHeight="1" s="32">
      <c r="A21" s="11" t="inlineStr">
        <is>
          <t xml:space="preserve">9.      </t>
        </is>
      </c>
      <c r="B21" s="13" t="n"/>
      <c r="C21" s="14" t="n"/>
      <c r="D21" s="15" t="n"/>
      <c r="E21" s="9" t="n"/>
      <c r="F21" s="9">
        <f>E21*20%</f>
        <v/>
      </c>
      <c r="G21" s="9" t="n"/>
      <c r="H21" s="9">
        <f>G21*20%</f>
        <v/>
      </c>
      <c r="I21" s="9" t="n"/>
      <c r="J21" s="9">
        <f>I21*20%</f>
        <v/>
      </c>
      <c r="K21" s="9" t="n"/>
      <c r="L21" s="9">
        <f>K21*20%</f>
        <v/>
      </c>
      <c r="M21" s="9" t="n"/>
      <c r="N21" s="9">
        <f>M21*20%</f>
        <v/>
      </c>
      <c r="O21" s="9">
        <f>ROUND(F21+H21+J21+L21+N21,0)</f>
        <v/>
      </c>
      <c r="P21" s="9" t="n"/>
    </row>
    <row r="22" hidden="1" ht="21" customHeight="1" s="32">
      <c r="A22" s="11" t="inlineStr">
        <is>
          <t xml:space="preserve">10.   </t>
        </is>
      </c>
      <c r="B22" s="13" t="n"/>
      <c r="C22" s="14" t="n"/>
      <c r="D22" s="15" t="n"/>
      <c r="E22" s="9" t="n"/>
      <c r="F22" s="9">
        <f>E22*20%</f>
        <v/>
      </c>
      <c r="G22" s="9" t="n"/>
      <c r="H22" s="9">
        <f>G22*20%</f>
        <v/>
      </c>
      <c r="I22" s="9" t="n"/>
      <c r="J22" s="9">
        <f>I22*20%</f>
        <v/>
      </c>
      <c r="K22" s="9" t="n"/>
      <c r="L22" s="9">
        <f>K22*20%</f>
        <v/>
      </c>
      <c r="M22" s="9" t="n"/>
      <c r="N22" s="9">
        <f>M22*20%</f>
        <v/>
      </c>
      <c r="O22" s="9">
        <f>ROUND(F22+H22+J22+L22+N22,0)</f>
        <v/>
      </c>
      <c r="P22" s="9" t="n"/>
    </row>
    <row r="23" hidden="1" ht="21" customHeight="1" s="32">
      <c r="A23" s="11" t="inlineStr">
        <is>
          <t xml:space="preserve">11.   </t>
        </is>
      </c>
      <c r="B23" s="13" t="n"/>
      <c r="C23" s="14" t="n"/>
      <c r="D23" s="15" t="n"/>
      <c r="E23" s="9" t="n"/>
      <c r="F23" s="9">
        <f>E23*20%</f>
        <v/>
      </c>
      <c r="G23" s="9" t="n"/>
      <c r="H23" s="9">
        <f>G23*20%</f>
        <v/>
      </c>
      <c r="I23" s="9" t="n"/>
      <c r="J23" s="9">
        <f>I23*20%</f>
        <v/>
      </c>
      <c r="K23" s="9" t="n"/>
      <c r="L23" s="9">
        <f>K23*20%</f>
        <v/>
      </c>
      <c r="M23" s="9" t="n"/>
      <c r="N23" s="9">
        <f>M23*20%</f>
        <v/>
      </c>
      <c r="O23" s="9">
        <f>ROUND(F23+H23+J23+L23+N23,0)</f>
        <v/>
      </c>
      <c r="P23" s="9" t="n"/>
    </row>
    <row r="24" hidden="1" ht="21" customHeight="1" s="32">
      <c r="A24" s="11" t="inlineStr">
        <is>
          <t xml:space="preserve">12.   </t>
        </is>
      </c>
      <c r="B24" s="13" t="n"/>
      <c r="C24" s="14" t="n"/>
      <c r="D24" s="15" t="n"/>
      <c r="E24" s="9" t="n"/>
      <c r="F24" s="9">
        <f>E24*20%</f>
        <v/>
      </c>
      <c r="G24" s="9" t="n"/>
      <c r="H24" s="9">
        <f>G24*20%</f>
        <v/>
      </c>
      <c r="I24" s="9" t="n"/>
      <c r="J24" s="9">
        <f>I24*20%</f>
        <v/>
      </c>
      <c r="K24" s="9" t="n"/>
      <c r="L24" s="9">
        <f>K24*20%</f>
        <v/>
      </c>
      <c r="M24" s="9" t="n"/>
      <c r="N24" s="9">
        <f>M24*20%</f>
        <v/>
      </c>
      <c r="O24" s="9">
        <f>ROUND(F24+H24+J24+L24+N24,0)</f>
        <v/>
      </c>
      <c r="P24" s="9" t="n"/>
    </row>
    <row r="25" hidden="1" ht="21" customHeight="1" s="32">
      <c r="A25" s="11" t="inlineStr">
        <is>
          <t xml:space="preserve">13.   </t>
        </is>
      </c>
      <c r="B25" s="13" t="n"/>
      <c r="C25" s="14" t="n"/>
      <c r="D25" s="15" t="n"/>
      <c r="E25" s="9" t="n"/>
      <c r="F25" s="9">
        <f>E25*20%</f>
        <v/>
      </c>
      <c r="G25" s="9" t="n"/>
      <c r="H25" s="9">
        <f>G25*20%</f>
        <v/>
      </c>
      <c r="I25" s="9" t="n"/>
      <c r="J25" s="9">
        <f>I25*20%</f>
        <v/>
      </c>
      <c r="K25" s="9" t="n"/>
      <c r="L25" s="9">
        <f>K25*20%</f>
        <v/>
      </c>
      <c r="M25" s="9" t="n"/>
      <c r="N25" s="9">
        <f>M25*20%</f>
        <v/>
      </c>
      <c r="O25" s="9">
        <f>ROUND(F25+H25+J25+L25+N25,0)</f>
        <v/>
      </c>
      <c r="P25" s="9" t="n"/>
    </row>
    <row r="26" hidden="1" ht="21" customHeight="1" s="32">
      <c r="A26" s="11" t="inlineStr">
        <is>
          <t xml:space="preserve">14.   </t>
        </is>
      </c>
      <c r="B26" s="13" t="n"/>
      <c r="C26" s="14" t="n"/>
      <c r="D26" s="15" t="n"/>
      <c r="E26" s="9" t="n"/>
      <c r="F26" s="9">
        <f>E26*20%</f>
        <v/>
      </c>
      <c r="G26" s="9" t="n"/>
      <c r="H26" s="9">
        <f>G26*20%</f>
        <v/>
      </c>
      <c r="I26" s="9" t="n"/>
      <c r="J26" s="9">
        <f>I26*20%</f>
        <v/>
      </c>
      <c r="K26" s="9" t="n"/>
      <c r="L26" s="9">
        <f>K26*20%</f>
        <v/>
      </c>
      <c r="M26" s="9" t="n"/>
      <c r="N26" s="9">
        <f>M26*20%</f>
        <v/>
      </c>
      <c r="O26" s="9">
        <f>ROUND(F26+H26+J26+L26+N26,0)</f>
        <v/>
      </c>
      <c r="P26" s="9" t="n"/>
    </row>
    <row r="27" hidden="1" ht="21" customHeight="1" s="32">
      <c r="A27" s="11" t="inlineStr">
        <is>
          <t xml:space="preserve">15.   </t>
        </is>
      </c>
      <c r="B27" s="13" t="n"/>
      <c r="C27" s="14" t="n"/>
      <c r="D27" s="15" t="n"/>
      <c r="E27" s="9" t="n"/>
      <c r="F27" s="9">
        <f>E27*20%</f>
        <v/>
      </c>
      <c r="G27" s="9" t="n"/>
      <c r="H27" s="9">
        <f>G27*20%</f>
        <v/>
      </c>
      <c r="I27" s="9" t="n"/>
      <c r="J27" s="9">
        <f>I27*20%</f>
        <v/>
      </c>
      <c r="K27" s="9" t="n"/>
      <c r="L27" s="9">
        <f>K27*20%</f>
        <v/>
      </c>
      <c r="M27" s="9" t="n"/>
      <c r="N27" s="9">
        <f>M27*20%</f>
        <v/>
      </c>
      <c r="O27" s="9">
        <f>ROUND(F27+H27+J27+L27+N27,0)</f>
        <v/>
      </c>
      <c r="P27" s="9" t="n"/>
    </row>
    <row r="28" hidden="1" ht="21" customHeight="1" s="32">
      <c r="A28" s="11" t="inlineStr">
        <is>
          <t xml:space="preserve">16.   </t>
        </is>
      </c>
      <c r="B28" s="13" t="n"/>
      <c r="C28" s="14" t="n"/>
      <c r="D28" s="15" t="n"/>
      <c r="E28" s="9" t="n"/>
      <c r="F28" s="9">
        <f>E28*20%</f>
        <v/>
      </c>
      <c r="G28" s="9" t="n"/>
      <c r="H28" s="9">
        <f>G28*20%</f>
        <v/>
      </c>
      <c r="I28" s="9" t="n"/>
      <c r="J28" s="9">
        <f>I28*20%</f>
        <v/>
      </c>
      <c r="K28" s="9" t="n"/>
      <c r="L28" s="9">
        <f>K28*20%</f>
        <v/>
      </c>
      <c r="M28" s="9" t="n"/>
      <c r="N28" s="9">
        <f>M28*20%</f>
        <v/>
      </c>
      <c r="O28" s="9">
        <f>ROUND(F28+H28+J28+L28+N28,0)</f>
        <v/>
      </c>
      <c r="P28" s="9" t="n"/>
    </row>
    <row r="29" hidden="1" ht="21" customHeight="1" s="32">
      <c r="A29" s="11" t="inlineStr">
        <is>
          <t xml:space="preserve">17.   </t>
        </is>
      </c>
      <c r="B29" s="13" t="n"/>
      <c r="C29" s="14" t="n"/>
      <c r="D29" s="15" t="n"/>
      <c r="E29" s="9" t="n"/>
      <c r="F29" s="9">
        <f>E29*20%</f>
        <v/>
      </c>
      <c r="G29" s="9" t="n"/>
      <c r="H29" s="9">
        <f>G29*20%</f>
        <v/>
      </c>
      <c r="I29" s="9" t="n"/>
      <c r="J29" s="9">
        <f>I29*20%</f>
        <v/>
      </c>
      <c r="K29" s="9" t="n"/>
      <c r="L29" s="9">
        <f>K29*20%</f>
        <v/>
      </c>
      <c r="M29" s="9" t="n"/>
      <c r="N29" s="9">
        <f>M29*20%</f>
        <v/>
      </c>
      <c r="O29" s="9">
        <f>ROUND(F29+H29+J29+L29+N29,0)</f>
        <v/>
      </c>
      <c r="P29" s="9" t="n"/>
    </row>
    <row r="30" hidden="1" ht="21" customHeight="1" s="32">
      <c r="A30" s="11" t="inlineStr">
        <is>
          <t xml:space="preserve">18.   </t>
        </is>
      </c>
      <c r="B30" s="13" t="n"/>
      <c r="C30" s="14" t="n"/>
      <c r="D30" s="15" t="n"/>
      <c r="E30" s="9" t="n"/>
      <c r="F30" s="9">
        <f>E30*20%</f>
        <v/>
      </c>
      <c r="G30" s="9" t="n"/>
      <c r="H30" s="9">
        <f>G30*20%</f>
        <v/>
      </c>
      <c r="I30" s="9" t="n"/>
      <c r="J30" s="9">
        <f>I30*20%</f>
        <v/>
      </c>
      <c r="K30" s="9" t="n"/>
      <c r="L30" s="9">
        <f>K30*20%</f>
        <v/>
      </c>
      <c r="M30" s="9" t="n"/>
      <c r="N30" s="9">
        <f>M30*20%</f>
        <v/>
      </c>
      <c r="O30" s="9">
        <f>ROUND(F30+H30+J30+L30+N30,0)</f>
        <v/>
      </c>
      <c r="P30" s="9" t="n"/>
    </row>
    <row r="31" hidden="1" ht="21" customHeight="1" s="32">
      <c r="A31" s="11" t="inlineStr">
        <is>
          <t xml:space="preserve">19.   </t>
        </is>
      </c>
      <c r="B31" s="13" t="n"/>
      <c r="C31" s="14" t="n"/>
      <c r="D31" s="15" t="n"/>
      <c r="E31" s="9" t="n"/>
      <c r="F31" s="9">
        <f>E31*20%</f>
        <v/>
      </c>
      <c r="G31" s="9" t="n"/>
      <c r="H31" s="9">
        <f>G31*20%</f>
        <v/>
      </c>
      <c r="I31" s="9" t="n"/>
      <c r="J31" s="9">
        <f>I31*20%</f>
        <v/>
      </c>
      <c r="K31" s="9" t="n"/>
      <c r="L31" s="9">
        <f>K31*20%</f>
        <v/>
      </c>
      <c r="M31" s="9" t="n"/>
      <c r="N31" s="9">
        <f>M31*20%</f>
        <v/>
      </c>
      <c r="O31" s="9">
        <f>ROUND(F31+H31+J31+L31+N31,0)</f>
        <v/>
      </c>
      <c r="P31" s="9" t="n"/>
    </row>
    <row r="32" hidden="1" ht="21" customHeight="1" s="32">
      <c r="A32" s="11" t="inlineStr">
        <is>
          <t xml:space="preserve">20.   </t>
        </is>
      </c>
      <c r="B32" s="13" t="n"/>
      <c r="C32" s="14" t="n"/>
      <c r="D32" s="15" t="n"/>
      <c r="E32" s="9" t="n"/>
      <c r="F32" s="9">
        <f>E32*20%</f>
        <v/>
      </c>
      <c r="G32" s="9" t="n"/>
      <c r="H32" s="9">
        <f>G32*20%</f>
        <v/>
      </c>
      <c r="I32" s="9" t="n"/>
      <c r="J32" s="9">
        <f>I32*20%</f>
        <v/>
      </c>
      <c r="K32" s="9" t="n"/>
      <c r="L32" s="9">
        <f>K32*20%</f>
        <v/>
      </c>
      <c r="M32" s="9" t="n"/>
      <c r="N32" s="9">
        <f>M32*20%</f>
        <v/>
      </c>
      <c r="O32" s="9">
        <f>ROUND(F32+H32+J32+L32+N32,0)</f>
        <v/>
      </c>
      <c r="P32" s="9" t="n"/>
    </row>
    <row r="33" hidden="1" ht="21" customHeight="1" s="32">
      <c r="A33" s="11" t="inlineStr">
        <is>
          <t xml:space="preserve">21.   </t>
        </is>
      </c>
      <c r="B33" s="13" t="n"/>
      <c r="C33" s="14" t="n"/>
      <c r="D33" s="15" t="n"/>
      <c r="E33" s="9" t="n"/>
      <c r="F33" s="9">
        <f>E33*20%</f>
        <v/>
      </c>
      <c r="G33" s="9" t="n"/>
      <c r="H33" s="9">
        <f>G33*20%</f>
        <v/>
      </c>
      <c r="I33" s="9" t="n"/>
      <c r="J33" s="9">
        <f>I33*20%</f>
        <v/>
      </c>
      <c r="K33" s="9" t="n"/>
      <c r="L33" s="9">
        <f>K33*20%</f>
        <v/>
      </c>
      <c r="M33" s="9" t="n"/>
      <c r="N33" s="9">
        <f>M33*20%</f>
        <v/>
      </c>
      <c r="O33" s="9">
        <f>ROUND(F33+H33+J33+L33+N33,0)</f>
        <v/>
      </c>
      <c r="P33" s="9" t="n"/>
    </row>
    <row r="34" hidden="1" ht="21" customHeight="1" s="32">
      <c r="A34" s="11" t="inlineStr">
        <is>
          <t xml:space="preserve">22.   </t>
        </is>
      </c>
      <c r="B34" s="13" t="n"/>
      <c r="C34" s="14" t="n"/>
      <c r="D34" s="15" t="n"/>
      <c r="E34" s="9" t="n"/>
      <c r="F34" s="9">
        <f>E34*20%</f>
        <v/>
      </c>
      <c r="G34" s="9" t="n"/>
      <c r="H34" s="9">
        <f>G34*20%</f>
        <v/>
      </c>
      <c r="I34" s="9" t="n"/>
      <c r="J34" s="9">
        <f>I34*20%</f>
        <v/>
      </c>
      <c r="K34" s="9" t="n"/>
      <c r="L34" s="9">
        <f>K34*20%</f>
        <v/>
      </c>
      <c r="M34" s="9" t="n"/>
      <c r="N34" s="9">
        <f>M34*20%</f>
        <v/>
      </c>
      <c r="O34" s="9">
        <f>ROUND(F34+H34+J34+L34+N34,0)</f>
        <v/>
      </c>
      <c r="P34" s="9" t="n"/>
    </row>
    <row r="35" hidden="1" ht="21" customHeight="1" s="32">
      <c r="A35" s="11" t="inlineStr">
        <is>
          <t xml:space="preserve">23.   </t>
        </is>
      </c>
      <c r="B35" s="13" t="n"/>
      <c r="C35" s="14" t="n"/>
      <c r="D35" s="15" t="n"/>
      <c r="E35" s="9" t="n"/>
      <c r="F35" s="9">
        <f>E35*20%</f>
        <v/>
      </c>
      <c r="G35" s="9" t="n"/>
      <c r="H35" s="9">
        <f>G35*20%</f>
        <v/>
      </c>
      <c r="I35" s="9" t="n"/>
      <c r="J35" s="9">
        <f>I35*20%</f>
        <v/>
      </c>
      <c r="K35" s="9" t="n"/>
      <c r="L35" s="9">
        <f>K35*20%</f>
        <v/>
      </c>
      <c r="M35" s="9" t="n"/>
      <c r="N35" s="9">
        <f>M35*20%</f>
        <v/>
      </c>
      <c r="O35" s="9">
        <f>ROUND(F35+H35+J35+L35+N35,0)</f>
        <v/>
      </c>
      <c r="P35" s="9" t="n"/>
    </row>
    <row r="36" hidden="1" ht="21" customHeight="1" s="32">
      <c r="A36" s="11" t="inlineStr">
        <is>
          <t xml:space="preserve">24.   </t>
        </is>
      </c>
      <c r="B36" s="13" t="n"/>
      <c r="C36" s="14" t="n"/>
      <c r="D36" s="15" t="n"/>
      <c r="E36" s="9" t="n"/>
      <c r="F36" s="9">
        <f>E36*20%</f>
        <v/>
      </c>
      <c r="G36" s="9" t="n"/>
      <c r="H36" s="9">
        <f>G36*20%</f>
        <v/>
      </c>
      <c r="I36" s="9" t="n"/>
      <c r="J36" s="9">
        <f>I36*20%</f>
        <v/>
      </c>
      <c r="K36" s="9" t="n"/>
      <c r="L36" s="9">
        <f>K36*20%</f>
        <v/>
      </c>
      <c r="M36" s="9" t="n"/>
      <c r="N36" s="9">
        <f>M36*20%</f>
        <v/>
      </c>
      <c r="O36" s="9">
        <f>ROUND(F36+H36+J36+L36+N36,0)</f>
        <v/>
      </c>
      <c r="P36" s="9" t="n"/>
    </row>
    <row r="37" hidden="1" ht="21" customHeight="1" s="32">
      <c r="A37" s="11" t="inlineStr">
        <is>
          <t xml:space="preserve">25.   </t>
        </is>
      </c>
      <c r="B37" s="13" t="n"/>
      <c r="C37" s="14" t="n"/>
      <c r="D37" s="15" t="n"/>
      <c r="E37" s="9" t="n"/>
      <c r="F37" s="9">
        <f>E37*20%</f>
        <v/>
      </c>
      <c r="G37" s="9" t="n"/>
      <c r="H37" s="9">
        <f>G37*20%</f>
        <v/>
      </c>
      <c r="I37" s="9" t="n"/>
      <c r="J37" s="9">
        <f>I37*20%</f>
        <v/>
      </c>
      <c r="K37" s="9" t="n"/>
      <c r="L37" s="9">
        <f>K37*20%</f>
        <v/>
      </c>
      <c r="M37" s="9" t="n"/>
      <c r="N37" s="9">
        <f>M37*20%</f>
        <v/>
      </c>
      <c r="O37" s="9">
        <f>ROUND(F37+H37+J37+L37+N37,0)</f>
        <v/>
      </c>
      <c r="P37" s="9" t="n"/>
    </row>
    <row r="38" ht="180" customHeight="1" s="32">
      <c r="A38" s="39" t="n"/>
      <c r="B38" s="60" t="n"/>
      <c r="C38" s="39" t="n"/>
      <c r="D38" s="39" t="n"/>
      <c r="E38" s="39" t="n"/>
      <c r="F38" s="39">
        <f>E38*20%</f>
        <v/>
      </c>
      <c r="G38" s="39" t="n"/>
      <c r="H38" s="39">
        <f>G38*20%</f>
        <v/>
      </c>
      <c r="I38" s="39" t="n"/>
      <c r="J38" s="39">
        <f>I38*20%</f>
        <v/>
      </c>
      <c r="K38" s="39" t="n"/>
      <c r="L38" s="39">
        <f>K38*20%</f>
        <v/>
      </c>
      <c r="M38" s="39" t="n"/>
      <c r="N38" s="39">
        <f>M38*20%</f>
        <v/>
      </c>
      <c r="O38" s="60">
        <f>ROUND(F38+H38+J38+L38+N38,0)</f>
        <v/>
      </c>
      <c r="P38" s="60" t="n"/>
    </row>
    <row r="39" ht="15.75" customHeight="1" s="32">
      <c r="B39" s="61" t="n"/>
      <c r="J39" s="39">
        <f>I39*20%</f>
        <v/>
      </c>
      <c r="L39" s="39">
        <f>K39*20%</f>
        <v/>
      </c>
      <c r="N39" s="39">
        <f>M39*20%</f>
        <v/>
      </c>
      <c r="O39" s="61" t="n"/>
      <c r="P39" s="61" t="n"/>
    </row>
    <row r="40" ht="15.75" customHeight="1" s="32">
      <c r="A40" s="39" t="n"/>
      <c r="B40" s="41" t="n"/>
      <c r="C40" s="41" t="n"/>
      <c r="D40" s="39" t="n"/>
      <c r="E40" s="39" t="n"/>
      <c r="F40" s="39">
        <f>E40*20%</f>
        <v/>
      </c>
      <c r="G40" s="18" t="n"/>
      <c r="H40" s="19">
        <f>G40*20%</f>
        <v/>
      </c>
      <c r="I40" s="39" t="n"/>
      <c r="J40" s="39">
        <f>I40*20%</f>
        <v/>
      </c>
      <c r="K40" s="39" t="n"/>
      <c r="L40" s="39">
        <f>K40*20%</f>
        <v/>
      </c>
      <c r="M40" s="39" t="n"/>
      <c r="N40" s="39">
        <f>M40*20%</f>
        <v/>
      </c>
      <c r="O40" s="41">
        <f>ROUND(F40+H40+J40+L40+N40,0)</f>
        <v/>
      </c>
    </row>
    <row r="41" ht="15.75" customHeight="1" s="32">
      <c r="A41" s="42" t="inlineStr">
        <is>
          <t>“Somos la primera Universidad de Venezuela (1673)”</t>
        </is>
      </c>
    </row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3">
    <mergeCell ref="G1:G12"/>
    <mergeCell ref="I1:I12"/>
    <mergeCell ref="P38:P39"/>
    <mergeCell ref="H38:H39"/>
    <mergeCell ref="A11:B11"/>
    <mergeCell ref="A9:B9"/>
    <mergeCell ref="G38:G39"/>
    <mergeCell ref="B38:B39"/>
    <mergeCell ref="F1:F12"/>
    <mergeCell ref="A1:D8"/>
    <mergeCell ref="C10:D10"/>
    <mergeCell ref="E38:E39"/>
    <mergeCell ref="H1:H12"/>
    <mergeCell ref="J1:J12"/>
    <mergeCell ref="P1:P12"/>
    <mergeCell ref="E1:E12"/>
    <mergeCell ref="K1:K12"/>
    <mergeCell ref="M1:M12"/>
    <mergeCell ref="F38:F39"/>
    <mergeCell ref="C11:D11"/>
    <mergeCell ref="O40:P40"/>
    <mergeCell ref="I38:I39"/>
    <mergeCell ref="K38:K39"/>
    <mergeCell ref="O1:O12"/>
    <mergeCell ref="A41:P41"/>
    <mergeCell ref="A38:A39"/>
    <mergeCell ref="C38:C39"/>
    <mergeCell ref="D38:D39"/>
    <mergeCell ref="M38:M39"/>
    <mergeCell ref="A10:B10"/>
    <mergeCell ref="O38:O39"/>
    <mergeCell ref="L1:L12"/>
    <mergeCell ref="N1:N12"/>
  </mergeCells>
  <pageMargins left="0.25" right="0.25" top="0.75" bottom="0.75" header="0" footer="0"/>
  <pageSetup orientation="landscape" scale="77" fitToHeight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Zoraima Vargas Sosa</dc:creator>
  <dcterms:created xmlns:dcterms="http://purl.org/dc/terms/" xmlns:xsi="http://www.w3.org/2001/XMLSchema-instance" xsi:type="dcterms:W3CDTF">2024-09-25T17:25:00Z</dcterms:created>
  <dcterms:modified xmlns:dcterms="http://purl.org/dc/terms/" xmlns:xsi="http://www.w3.org/2001/XMLSchema-instance" xsi:type="dcterms:W3CDTF">2026-05-18T14:47:57Z</dcterms:modified>
  <cp:lastModifiedBy>FRANK CLEMENTE</cp:lastModifiedBy>
  <cp:lastPrinted>2025-12-02T18:43:13Z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8830980BC7784ED19142FB2251BD3ACB_13</vt:lpwstr>
  </property>
  <property name="KSOProductBuildVer" fmtid="{D5CDD505-2E9C-101B-9397-08002B2CF9AE}" pid="3">
    <vt:lpwstr xmlns:vt="http://schemas.openxmlformats.org/officeDocument/2006/docPropsVTypes">2058-12.2.0.22549</vt:lpwstr>
  </property>
</Properties>
</file>
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clem\Desktop\personal\UCSAR\2025\III\Contabilidad IV\Tema 3- Agencias y Sucursales\"/>
    </mc:Choice>
  </mc:AlternateContent>
  <bookViews>
    <workbookView xWindow="0" yWindow="0" windowWidth="23040" windowHeight="9072" firstSheet="2" activeTab="3"/>
  </bookViews>
  <sheets>
    <sheet name="Casa Central - Caracas" sheetId="1" r:id="rId1"/>
    <sheet name="Estado de Resultado" sheetId="2" r:id="rId2"/>
    <sheet name="Ajuste" sheetId="4" r:id="rId3"/>
    <sheet name="Balance General" sheetId="3" r:id="rId4"/>
  </sheets>
  <calcPr calcId="162913"/>
</workbook>
</file>

<file path=xl/calcChain.xml><?xml version="1.0" encoding="utf-8"?>
<calcChain xmlns="http://schemas.openxmlformats.org/spreadsheetml/2006/main">
  <c r="B8" i="3" l="1"/>
  <c r="D66" i="1"/>
  <c r="E84" i="1" l="1"/>
  <c r="B22" i="3" l="1"/>
  <c r="B12" i="3"/>
  <c r="B13" i="3"/>
  <c r="B26" i="3"/>
  <c r="B28" i="3" l="1"/>
  <c r="B30" i="3" l="1"/>
</calcChain>
</file>

<file path=xl/sharedStrings.xml><?xml version="1.0" encoding="utf-8"?>
<sst xmlns="http://schemas.openxmlformats.org/spreadsheetml/2006/main" count="172" uniqueCount="107">
  <si>
    <t>Fecha</t>
  </si>
  <si>
    <t>N° Asiento</t>
  </si>
  <si>
    <t>Detalle</t>
  </si>
  <si>
    <t>Debe (Bs.)</t>
  </si>
  <si>
    <t>Haber (Bs.)</t>
  </si>
  <si>
    <t>Inventarios</t>
  </si>
  <si>
    <t>Efectos por Pagar</t>
  </si>
  <si>
    <t>Para registrar la compra de mercancías.</t>
  </si>
  <si>
    <t>Caja-Bancos</t>
  </si>
  <si>
    <t>Efectos por Cobrar</t>
  </si>
  <si>
    <t>Cuentas por Cobrar</t>
  </si>
  <si>
    <t>Ventas</t>
  </si>
  <si>
    <t xml:space="preserve">Para registrar las ventas del período (incluye las de la Central: 90.000, por lo que los giros aceptados incluyen ese monto). </t>
  </si>
  <si>
    <t>Efectos por Cobrar Descontados</t>
  </si>
  <si>
    <t>Intereses de Descuento (Gasto)</t>
  </si>
  <si>
    <t>Gastos de Descuento (Gasto)</t>
  </si>
  <si>
    <t>Cuentas por Pagar</t>
  </si>
  <si>
    <t>Para registrar el pago de giros y cuentas pendientes.</t>
  </si>
  <si>
    <t>Sucursal Cumaná</t>
  </si>
  <si>
    <t>Depreciación Acumulada Equipo de Oficina</t>
  </si>
  <si>
    <t>Equipos de Oficina</t>
  </si>
  <si>
    <t>Para registrar el envío de equipos de oficina a la Sucursal por su valor contable.</t>
  </si>
  <si>
    <t>Para registrar el pago de gastos de publicidad y el cargo a la Sucursal.</t>
  </si>
  <si>
    <t>Gastos de Administración</t>
  </si>
  <si>
    <t>Para registrar los gastos de administración y ventas.</t>
  </si>
  <si>
    <t>Apartado Impuesto sobre la Renta</t>
  </si>
  <si>
    <t>Para registrar el pago del impuesto sobre la renta pendiente.</t>
  </si>
  <si>
    <t>Para registrar los cobros directos de giros y cuentas por cobrar.</t>
  </si>
  <si>
    <t>Cuentas por Cobrar Clientes Incobrables (Sucursal)</t>
  </si>
  <si>
    <t>Gastos Diversos (Gastos)</t>
  </si>
  <si>
    <t>Para registrar el cobro y la devolución de giros descontados incobrables.</t>
  </si>
  <si>
    <t>Para registrar la cancelación de giros descontados cobrados por el Banco.</t>
  </si>
  <si>
    <t>Para registrar la recepción de remesas de la Sucursal.</t>
  </si>
  <si>
    <t>Gastos y Pérdidas de Mercancías</t>
  </si>
  <si>
    <t>Para registrar el envío de mercancía por la Sucursal por cuenta de la Central.</t>
  </si>
  <si>
    <t>Ventas a Sucursal</t>
  </si>
  <si>
    <t>Para registrar la mercancía enviada a la Sucursal a precio facturado.</t>
  </si>
  <si>
    <t xml:space="preserve">Para registrar el descuento de giros. Total gastos: 55.200. Efectivo recibido: 2.300.000−55.200=2.244.800. 2.300.000×0.09×3/12=51.750 (Intereses). 2.300.000×1.5/1000=3.450 (Gastos). Total 55.200. Efectivo 2.244.800. </t>
  </si>
  <si>
    <t>Gastos de Publicidad</t>
  </si>
  <si>
    <t>Gastos de Ventas</t>
  </si>
  <si>
    <t>Gastos de Provisión Incobrables</t>
  </si>
  <si>
    <t>Provisión para Cuentas Incobrables</t>
  </si>
  <si>
    <t>Gastos de Depreciación Equipos de Oficina</t>
  </si>
  <si>
    <t>Depreciación Acumulada Equipos de Oficina</t>
  </si>
  <si>
    <t>21.361,95</t>
  </si>
  <si>
    <t>Para registrar la provisión del 4.5% sobre saldos de Ef. por Cobrar y Ctas. por Cobrar.</t>
  </si>
  <si>
    <t>9.247,50</t>
  </si>
  <si>
    <t>Para registrar la depreciación del 15% sobre el valor contable.</t>
  </si>
  <si>
    <t>Ajustes Inventarios Sucursal Cumaná</t>
  </si>
  <si>
    <t>65.100,00</t>
  </si>
  <si>
    <t>Pérdidas y Ganancias (Central)</t>
  </si>
  <si>
    <t>Para cerrar la sobrevaluación del inventario inicial.</t>
  </si>
  <si>
    <t>244.000,00</t>
  </si>
  <si>
    <t>Para trasladar la sobrevaluación de la mercancía enviada.</t>
  </si>
  <si>
    <t>21.000,00</t>
  </si>
  <si>
    <t>Para registrar la sobrevaluación del inventario final.</t>
  </si>
  <si>
    <t>3.250.000,00</t>
  </si>
  <si>
    <t>732.000,00</t>
  </si>
  <si>
    <t>3.982.000,00</t>
  </si>
  <si>
    <t>Para cerrar las cuentas de Ventas y Ventas a Sucursal.</t>
  </si>
  <si>
    <t>Inventario Inicial</t>
  </si>
  <si>
    <t>Compras</t>
  </si>
  <si>
    <t>Para registrar el resultado de la sucursal (Utilidad Bs. 80.292,30 + Ajuste Inv. Inicial Bs. 65.100).</t>
  </si>
  <si>
    <t>Utilidades Retenidas</t>
  </si>
  <si>
    <t>Calculando la utilidad: Ingresos: 3.982.000+65.100+21.000+524.300+145.392,30 = 4.732.792,30. Egresos: 3.538.564,45+244.000 = 3.782.564,45. Utilidad: Bs. 950.227,85.</t>
  </si>
  <si>
    <t>Costo de Ventas</t>
  </si>
  <si>
    <t>Monto (Bs.)</t>
  </si>
  <si>
    <t>Total Pasivo y Capital</t>
  </si>
  <si>
    <t>Total Activo</t>
  </si>
  <si>
    <t>Total Activo Fijo</t>
  </si>
  <si>
    <t>Depreciación Acumulada</t>
  </si>
  <si>
    <t>Activo Fijo:</t>
  </si>
  <si>
    <t>Total Activo Circulante</t>
  </si>
  <si>
    <t>Capital</t>
  </si>
  <si>
    <t>Capital y Resultados:</t>
  </si>
  <si>
    <t>Total Pasivo Circulante</t>
  </si>
  <si>
    <t>Provisión Cuentas Incobrables</t>
  </si>
  <si>
    <t>Caja y Bancos</t>
  </si>
  <si>
    <t>Pasivo Circulante:</t>
  </si>
  <si>
    <t>Activo Circulante:</t>
  </si>
  <si>
    <t>Pasivo y Capital</t>
  </si>
  <si>
    <t>Activo</t>
  </si>
  <si>
    <t>total capital</t>
  </si>
  <si>
    <t>Para cerrar las cuentas de gastos y el inventario inicial</t>
  </si>
  <si>
    <t>Para registrar el inventario final</t>
  </si>
  <si>
    <t xml:space="preserve"> Ventas </t>
  </si>
  <si>
    <t xml:space="preserve"> (+) Ventas a Sucursal </t>
  </si>
  <si>
    <t xml:space="preserve"> Total Ventas </t>
  </si>
  <si>
    <t xml:space="preserve"> (-) Costo de Ventas: </t>
  </si>
  <si>
    <t xml:space="preserve">  </t>
  </si>
  <si>
    <t xml:space="preserve"> Inventario Inicial </t>
  </si>
  <si>
    <t xml:space="preserve"> Compras Netas </t>
  </si>
  <si>
    <t xml:space="preserve"> Gastos y Pérdidas de Mercancías </t>
  </si>
  <si>
    <t xml:space="preserve"> (-) Inventario Final </t>
  </si>
  <si>
    <t xml:space="preserve"> Costo de Ventas </t>
  </si>
  <si>
    <t xml:space="preserve"> Utilidad Bruta </t>
  </si>
  <si>
    <t xml:space="preserve"> (-) Gastos de Operación: </t>
  </si>
  <si>
    <t xml:space="preserve"> Gastos de Administración </t>
  </si>
  <si>
    <t xml:space="preserve"> Gastos de Ventas </t>
  </si>
  <si>
    <t xml:space="preserve"> Gastos de Publicidad </t>
  </si>
  <si>
    <t xml:space="preserve"> Intereses y Gastos de Descuento </t>
  </si>
  <si>
    <t xml:space="preserve"> Gastos Diversos </t>
  </si>
  <si>
    <t xml:space="preserve"> Gasto Provisión Incobrables </t>
  </si>
  <si>
    <t xml:space="preserve"> Gasto Depreciación </t>
  </si>
  <si>
    <t xml:space="preserve"> Gasto Incobrables </t>
  </si>
  <si>
    <t xml:space="preserve"> Total Gastos de Operación </t>
  </si>
  <si>
    <t xml:space="preserve"> UTILIDAD NETA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</si>
</sst>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5" fillId="0" borderId="0"/>
  </cellStyleXfs>
  <cellXfs count="29">
    <xf numFmtId="0" fontId="0" fillId="0" borderId="0" xfId="0" applyFont="1" applyAlignment="1"/>
    <xf numFmtId="0" fontId="1" fillId="0" borderId="0" xfId="0" applyFont="1" applyAlignment="1"/>
    <xf numFmtId="0" fontId="0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0" fillId="0" borderId="0" xfId="0" applyFont="1" applyAlignment="1">
      <alignment vertical="center" wrapText="1"/>
    </xf>
    <xf numFmtId="0" fontId="4" fillId="0" borderId="0" xfId="0" applyFont="1" applyAlignment="1"/>
    <xf numFmtId="0" fontId="1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43" fontId="1" fillId="0" borderId="0" xfId="1" applyFont="1" applyAlignment="1">
      <alignment horizontal="right"/>
    </xf>
    <xf numFmtId="43" fontId="0" fillId="0" borderId="0" xfId="1" applyFont="1" applyAlignment="1">
      <alignment horizontal="right"/>
    </xf>
    <xf numFmtId="43" fontId="4" fillId="0" borderId="0" xfId="1" applyFont="1" applyAlignment="1">
      <alignment horizontal="right"/>
    </xf>
    <xf numFmtId="0" fontId="6" fillId="0" borderId="0" xfId="0" applyFont="1" applyAlignment="1"/>
    <xf numFmtId="0" fontId="5" fillId="0" borderId="0" xfId="2" applyFont="1" applyAlignment="1"/>
    <xf numFmtId="4" fontId="4" fillId="0" borderId="0" xfId="2" applyNumberFormat="1" applyFont="1" applyAlignment="1"/>
    <xf numFmtId="0" fontId="4" fillId="0" borderId="0" xfId="2" applyFont="1" applyAlignment="1"/>
    <xf numFmtId="4" fontId="5" fillId="0" borderId="0" xfId="2" applyNumberFormat="1" applyFont="1" applyAlignment="1"/>
    <xf numFmtId="0" fontId="1" fillId="0" borderId="0" xfId="2" applyFont="1" applyAlignme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43" fontId="0" fillId="0" borderId="0" xfId="1" applyFont="1" applyAlignment="1"/>
    <xf numFmtId="43" fontId="0" fillId="0" borderId="0" xfId="1" applyFont="1" applyAlignment="1">
      <alignment vertical="center" wrapText="1"/>
    </xf>
    <xf numFmtId="43" fontId="0" fillId="0" borderId="0" xfId="1" applyFont="1" applyAlignment="1">
      <alignment wrapText="1"/>
    </xf>
    <xf numFmtId="0" fontId="1" fillId="0" borderId="0" xfId="0" applyFont="1" applyAlignment="1">
      <alignment horizontal="center"/>
    </xf>
    <xf numFmtId="3" fontId="0" fillId="0" borderId="0" xfId="0" applyNumberFormat="1" applyFont="1" applyAlignment="1"/>
    <xf numFmtId="4" fontId="0" fillId="0" borderId="0" xfId="0" applyNumberFormat="1" applyFont="1" applyAlignment="1"/>
    <xf numFmtId="43" fontId="4" fillId="0" borderId="0" xfId="1" applyFont="1" applyAlignment="1"/>
    <xf numFmtId="43" fontId="5" fillId="0" borderId="0" xfId="1" applyFont="1" applyAlignment="1"/>
  </cellXfs>
  <cellStyles count="3">
    <cellStyle name="Millares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88"/>
  <sheetViews>
    <sheetView topLeftCell="A60" zoomScale="92" workbookViewId="0">
      <selection activeCell="G71" sqref="G71:K83"/>
    </sheetView>
  </sheetViews>
  <sheetFormatPr baseColWidth="10" defaultColWidth="12.6640625" defaultRowHeight="15.75" customHeight="1" x14ac:dyDescent="0.25"/>
  <cols>
    <col min="1" max="1" width="9.6640625" style="2" customWidth="1"/>
    <col min="2" max="2" width="12" bestFit="1" customWidth="1"/>
    <col min="3" max="3" width="47.77734375" customWidth="1"/>
    <col min="4" max="5" width="13" style="10" bestFit="1" customWidth="1"/>
    <col min="6" max="6" width="7.109375" customWidth="1"/>
    <col min="7" max="7" width="13" style="21" bestFit="1" customWidth="1"/>
    <col min="8" max="8" width="12.6640625" style="21"/>
  </cols>
  <sheetData>
    <row r="1" spans="1:8" ht="13.2" x14ac:dyDescent="0.25">
      <c r="A1" s="3" t="s">
        <v>0</v>
      </c>
      <c r="B1" s="1" t="s">
        <v>1</v>
      </c>
      <c r="C1" s="1" t="s">
        <v>2</v>
      </c>
      <c r="D1" s="9" t="s">
        <v>3</v>
      </c>
      <c r="E1" s="9" t="s">
        <v>4</v>
      </c>
    </row>
    <row r="2" spans="1:8" ht="13.2" x14ac:dyDescent="0.25">
      <c r="B2" s="3">
        <v>1</v>
      </c>
      <c r="C2" s="1" t="s">
        <v>5</v>
      </c>
      <c r="D2" s="9">
        <v>1700000</v>
      </c>
    </row>
    <row r="3" spans="1:8" ht="13.2" x14ac:dyDescent="0.25">
      <c r="C3" s="1" t="s">
        <v>6</v>
      </c>
      <c r="E3" s="9">
        <v>1500000</v>
      </c>
    </row>
    <row r="4" spans="1:8" ht="13.2" x14ac:dyDescent="0.25">
      <c r="C4" s="8" t="s">
        <v>16</v>
      </c>
      <c r="E4" s="9">
        <v>200000</v>
      </c>
    </row>
    <row r="5" spans="1:8" ht="13.2" x14ac:dyDescent="0.25">
      <c r="A5" s="18" t="s">
        <v>7</v>
      </c>
      <c r="B5" s="18"/>
      <c r="C5" s="18"/>
      <c r="D5" s="18"/>
      <c r="E5" s="18"/>
    </row>
    <row r="6" spans="1:8" ht="13.2" x14ac:dyDescent="0.25">
      <c r="B6" s="1">
        <v>2</v>
      </c>
      <c r="C6" s="1" t="s">
        <v>8</v>
      </c>
      <c r="D6" s="9">
        <v>930000</v>
      </c>
    </row>
    <row r="7" spans="1:8" ht="13.2" x14ac:dyDescent="0.25">
      <c r="C7" s="1" t="s">
        <v>9</v>
      </c>
      <c r="D7" s="9">
        <v>2000000</v>
      </c>
    </row>
    <row r="8" spans="1:8" ht="13.2" x14ac:dyDescent="0.25">
      <c r="C8" s="1" t="s">
        <v>10</v>
      </c>
      <c r="D8" s="9">
        <v>320000</v>
      </c>
    </row>
    <row r="9" spans="1:8" ht="13.2" x14ac:dyDescent="0.25">
      <c r="A9" s="4"/>
      <c r="C9" s="7" t="s">
        <v>11</v>
      </c>
      <c r="E9" s="9">
        <v>3250000</v>
      </c>
    </row>
    <row r="10" spans="1:8" s="5" customFormat="1" ht="36.6" customHeight="1" x14ac:dyDescent="0.25">
      <c r="A10" s="19" t="s">
        <v>12</v>
      </c>
      <c r="B10" s="19"/>
      <c r="C10" s="19"/>
      <c r="D10" s="19"/>
      <c r="E10" s="19"/>
      <c r="G10" s="22"/>
      <c r="H10" s="22"/>
    </row>
    <row r="11" spans="1:8" ht="13.2" x14ac:dyDescent="0.25">
      <c r="B11" s="1">
        <v>3</v>
      </c>
      <c r="C11" s="1" t="s">
        <v>8</v>
      </c>
      <c r="D11" s="9">
        <v>2244800</v>
      </c>
    </row>
    <row r="12" spans="1:8" ht="13.2" x14ac:dyDescent="0.25">
      <c r="C12" s="1" t="s">
        <v>14</v>
      </c>
      <c r="D12" s="9">
        <v>51750</v>
      </c>
    </row>
    <row r="13" spans="1:8" ht="13.2" x14ac:dyDescent="0.25">
      <c r="C13" s="1" t="s">
        <v>15</v>
      </c>
      <c r="D13" s="9">
        <v>3450</v>
      </c>
    </row>
    <row r="14" spans="1:8" ht="13.2" x14ac:dyDescent="0.25">
      <c r="C14" s="7" t="s">
        <v>13</v>
      </c>
      <c r="E14" s="9">
        <v>2300000</v>
      </c>
    </row>
    <row r="15" spans="1:8" ht="45" customHeight="1" x14ac:dyDescent="0.25">
      <c r="A15" s="20" t="s">
        <v>37</v>
      </c>
      <c r="B15" s="20"/>
      <c r="C15" s="20"/>
      <c r="D15" s="20"/>
      <c r="E15" s="20"/>
    </row>
    <row r="16" spans="1:8" ht="13.2" x14ac:dyDescent="0.25">
      <c r="B16" s="1">
        <v>4</v>
      </c>
      <c r="C16" s="1" t="s">
        <v>6</v>
      </c>
      <c r="D16" s="9">
        <v>1900000</v>
      </c>
    </row>
    <row r="17" spans="1:5" ht="13.2" x14ac:dyDescent="0.25">
      <c r="C17" s="1" t="s">
        <v>16</v>
      </c>
      <c r="D17" s="9">
        <v>230000</v>
      </c>
    </row>
    <row r="18" spans="1:5" ht="13.2" x14ac:dyDescent="0.25">
      <c r="C18" s="7" t="s">
        <v>8</v>
      </c>
      <c r="E18" s="9">
        <v>2130000</v>
      </c>
    </row>
    <row r="19" spans="1:5" ht="13.2" x14ac:dyDescent="0.25">
      <c r="A19" s="18" t="s">
        <v>17</v>
      </c>
      <c r="B19" s="18"/>
      <c r="C19" s="18"/>
      <c r="D19" s="18"/>
      <c r="E19" s="18"/>
    </row>
    <row r="20" spans="1:5" ht="13.2" x14ac:dyDescent="0.25">
      <c r="B20" s="1">
        <v>5</v>
      </c>
      <c r="C20" s="1" t="s">
        <v>18</v>
      </c>
      <c r="D20" s="9">
        <v>1350</v>
      </c>
    </row>
    <row r="21" spans="1:5" ht="13.2" x14ac:dyDescent="0.25">
      <c r="C21" s="1" t="s">
        <v>19</v>
      </c>
      <c r="D21" s="9">
        <v>800</v>
      </c>
    </row>
    <row r="22" spans="1:5" ht="13.2" x14ac:dyDescent="0.25">
      <c r="A22" s="4"/>
      <c r="C22" s="7" t="s">
        <v>20</v>
      </c>
      <c r="E22" s="9">
        <v>2150</v>
      </c>
    </row>
    <row r="23" spans="1:5" ht="13.2" x14ac:dyDescent="0.25">
      <c r="A23" s="18" t="s">
        <v>21</v>
      </c>
      <c r="B23" s="18"/>
      <c r="C23" s="18"/>
      <c r="D23" s="18"/>
      <c r="E23" s="18"/>
    </row>
    <row r="24" spans="1:5" ht="13.2" x14ac:dyDescent="0.25">
      <c r="B24" s="1">
        <v>6</v>
      </c>
      <c r="C24" s="6" t="s">
        <v>38</v>
      </c>
      <c r="D24" s="9">
        <v>200000</v>
      </c>
    </row>
    <row r="25" spans="1:5" ht="13.2" x14ac:dyDescent="0.25">
      <c r="C25" s="1" t="s">
        <v>18</v>
      </c>
      <c r="D25" s="9">
        <v>40000</v>
      </c>
    </row>
    <row r="26" spans="1:5" ht="13.2" x14ac:dyDescent="0.25">
      <c r="C26" s="7" t="s">
        <v>8</v>
      </c>
      <c r="E26" s="9">
        <v>240000</v>
      </c>
    </row>
    <row r="27" spans="1:5" ht="13.2" x14ac:dyDescent="0.25">
      <c r="A27" s="18" t="s">
        <v>22</v>
      </c>
      <c r="B27" s="18"/>
      <c r="C27" s="18"/>
      <c r="D27" s="18"/>
      <c r="E27" s="18"/>
    </row>
    <row r="28" spans="1:5" ht="13.2" x14ac:dyDescent="0.25">
      <c r="B28" s="1">
        <v>7</v>
      </c>
      <c r="C28" s="1" t="s">
        <v>23</v>
      </c>
      <c r="D28" s="9">
        <v>184150</v>
      </c>
    </row>
    <row r="29" spans="1:5" ht="13.2" x14ac:dyDescent="0.25">
      <c r="C29" s="6" t="s">
        <v>39</v>
      </c>
      <c r="D29" s="9">
        <v>463125</v>
      </c>
    </row>
    <row r="30" spans="1:5" ht="13.2" x14ac:dyDescent="0.25">
      <c r="C30" s="7" t="s">
        <v>8</v>
      </c>
      <c r="E30" s="9">
        <v>647275</v>
      </c>
    </row>
    <row r="31" spans="1:5" ht="13.2" x14ac:dyDescent="0.25">
      <c r="A31" s="18" t="s">
        <v>24</v>
      </c>
      <c r="B31" s="18"/>
      <c r="C31" s="18"/>
      <c r="D31" s="18"/>
      <c r="E31" s="18"/>
    </row>
    <row r="32" spans="1:5" ht="13.2" x14ac:dyDescent="0.25">
      <c r="B32" s="1">
        <v>8</v>
      </c>
      <c r="C32" s="1" t="s">
        <v>25</v>
      </c>
      <c r="D32" s="9">
        <v>129600</v>
      </c>
    </row>
    <row r="33" spans="1:8" ht="13.2" x14ac:dyDescent="0.25">
      <c r="C33" s="7" t="s">
        <v>8</v>
      </c>
      <c r="E33" s="9">
        <v>129600</v>
      </c>
    </row>
    <row r="34" spans="1:8" ht="13.2" x14ac:dyDescent="0.25">
      <c r="A34" s="18" t="s">
        <v>26</v>
      </c>
      <c r="B34" s="18"/>
      <c r="C34" s="18"/>
      <c r="D34" s="18"/>
      <c r="E34" s="18"/>
    </row>
    <row r="35" spans="1:8" ht="13.2" x14ac:dyDescent="0.25">
      <c r="B35" s="1">
        <v>9</v>
      </c>
      <c r="C35" s="1" t="s">
        <v>8</v>
      </c>
      <c r="D35" s="9">
        <v>440000</v>
      </c>
    </row>
    <row r="36" spans="1:8" ht="13.2" x14ac:dyDescent="0.25">
      <c r="C36" s="7" t="s">
        <v>9</v>
      </c>
      <c r="E36" s="9">
        <v>190000</v>
      </c>
    </row>
    <row r="37" spans="1:8" ht="13.2" x14ac:dyDescent="0.25">
      <c r="C37" s="7" t="s">
        <v>10</v>
      </c>
      <c r="E37" s="9">
        <v>250000</v>
      </c>
    </row>
    <row r="38" spans="1:8" ht="13.2" x14ac:dyDescent="0.25">
      <c r="A38" s="18" t="s">
        <v>27</v>
      </c>
      <c r="B38" s="18"/>
      <c r="C38" s="18"/>
      <c r="D38" s="18"/>
      <c r="E38" s="18"/>
    </row>
    <row r="39" spans="1:8" ht="13.2" x14ac:dyDescent="0.25">
      <c r="B39" s="1">
        <v>10</v>
      </c>
      <c r="C39" s="6" t="s">
        <v>8</v>
      </c>
      <c r="D39" s="9">
        <v>1779840</v>
      </c>
    </row>
    <row r="40" spans="1:8" ht="13.2" x14ac:dyDescent="0.25">
      <c r="C40" s="7" t="s">
        <v>28</v>
      </c>
      <c r="D40" s="9">
        <v>150160</v>
      </c>
    </row>
    <row r="41" spans="1:8" ht="13.2" x14ac:dyDescent="0.25">
      <c r="C41" s="7" t="s">
        <v>29</v>
      </c>
      <c r="D41" s="9">
        <v>160</v>
      </c>
    </row>
    <row r="42" spans="1:8" ht="13.2" x14ac:dyDescent="0.25">
      <c r="C42" s="7" t="s">
        <v>13</v>
      </c>
      <c r="E42" s="9">
        <v>1930000</v>
      </c>
    </row>
    <row r="43" spans="1:8" ht="13.2" x14ac:dyDescent="0.25">
      <c r="A43" s="18" t="s">
        <v>30</v>
      </c>
      <c r="B43" s="18"/>
      <c r="C43" s="18"/>
      <c r="D43" s="18"/>
      <c r="E43" s="18"/>
    </row>
    <row r="44" spans="1:8" ht="13.2" x14ac:dyDescent="0.25">
      <c r="B44" s="1">
        <v>11</v>
      </c>
      <c r="C44" s="1" t="s">
        <v>13</v>
      </c>
      <c r="D44" s="9">
        <v>1780000</v>
      </c>
    </row>
    <row r="45" spans="1:8" ht="13.2" x14ac:dyDescent="0.25">
      <c r="C45" s="7" t="s">
        <v>9</v>
      </c>
      <c r="E45" s="9">
        <v>1780000</v>
      </c>
    </row>
    <row r="46" spans="1:8" s="2" customFormat="1" ht="24.6" customHeight="1" x14ac:dyDescent="0.25">
      <c r="A46" s="20" t="s">
        <v>31</v>
      </c>
      <c r="B46" s="20"/>
      <c r="C46" s="20"/>
      <c r="D46" s="20"/>
      <c r="E46" s="20"/>
      <c r="G46" s="23"/>
      <c r="H46" s="23"/>
    </row>
    <row r="47" spans="1:8" ht="13.2" x14ac:dyDescent="0.25">
      <c r="B47" s="1">
        <v>12</v>
      </c>
      <c r="C47" s="1" t="s">
        <v>8</v>
      </c>
      <c r="D47" s="9">
        <v>1000000</v>
      </c>
    </row>
    <row r="48" spans="1:8" ht="13.2" x14ac:dyDescent="0.25">
      <c r="C48" s="7" t="s">
        <v>18</v>
      </c>
      <c r="E48" s="9">
        <v>1000000</v>
      </c>
    </row>
    <row r="49" spans="1:5" ht="13.2" x14ac:dyDescent="0.25">
      <c r="A49" s="18" t="s">
        <v>32</v>
      </c>
      <c r="B49" s="18"/>
      <c r="C49" s="18"/>
      <c r="D49" s="18"/>
      <c r="E49" s="18"/>
    </row>
    <row r="50" spans="1:5" ht="13.2" x14ac:dyDescent="0.25">
      <c r="B50" s="1">
        <v>13</v>
      </c>
      <c r="C50" s="1" t="s">
        <v>65</v>
      </c>
      <c r="D50" s="9">
        <v>90000</v>
      </c>
    </row>
    <row r="51" spans="1:5" ht="13.2" x14ac:dyDescent="0.25">
      <c r="C51" s="7" t="s">
        <v>18</v>
      </c>
      <c r="E51" s="9">
        <v>90000</v>
      </c>
    </row>
    <row r="52" spans="1:5" ht="13.2" x14ac:dyDescent="0.25">
      <c r="A52" s="18" t="s">
        <v>34</v>
      </c>
      <c r="B52" s="18"/>
      <c r="C52" s="18"/>
      <c r="D52" s="18"/>
      <c r="E52" s="18"/>
    </row>
    <row r="53" spans="1:5" ht="13.2" x14ac:dyDescent="0.25">
      <c r="B53" s="1">
        <v>14</v>
      </c>
      <c r="C53" s="1" t="s">
        <v>35</v>
      </c>
      <c r="D53" s="9">
        <v>732000</v>
      </c>
    </row>
    <row r="54" spans="1:5" ht="13.2" x14ac:dyDescent="0.25">
      <c r="C54" s="7" t="s">
        <v>5</v>
      </c>
      <c r="E54" s="9">
        <v>732000</v>
      </c>
    </row>
    <row r="55" spans="1:5" ht="13.2" x14ac:dyDescent="0.25">
      <c r="A55" s="18" t="s">
        <v>36</v>
      </c>
      <c r="B55" s="18"/>
      <c r="C55" s="18"/>
      <c r="D55" s="18"/>
      <c r="E55" s="18"/>
    </row>
    <row r="56" spans="1:5" ht="13.2" x14ac:dyDescent="0.25">
      <c r="B56" s="1">
        <v>15</v>
      </c>
      <c r="C56" s="1" t="s">
        <v>40</v>
      </c>
      <c r="D56" s="9" t="s">
        <v>44</v>
      </c>
    </row>
    <row r="57" spans="1:5" ht="13.2" x14ac:dyDescent="0.25">
      <c r="C57" s="7" t="s">
        <v>41</v>
      </c>
      <c r="E57" s="9" t="s">
        <v>44</v>
      </c>
    </row>
    <row r="58" spans="1:5" ht="13.2" x14ac:dyDescent="0.25">
      <c r="A58" s="18" t="s">
        <v>45</v>
      </c>
      <c r="B58" s="18"/>
      <c r="C58" s="18"/>
      <c r="D58" s="18"/>
      <c r="E58" s="18"/>
    </row>
    <row r="59" spans="1:5" ht="13.2" x14ac:dyDescent="0.25">
      <c r="B59" s="1">
        <v>16</v>
      </c>
      <c r="C59" s="1" t="s">
        <v>42</v>
      </c>
      <c r="D59" s="9" t="s">
        <v>46</v>
      </c>
    </row>
    <row r="60" spans="1:5" ht="13.2" x14ac:dyDescent="0.25">
      <c r="C60" s="7" t="s">
        <v>43</v>
      </c>
      <c r="E60" s="9" t="s">
        <v>46</v>
      </c>
    </row>
    <row r="61" spans="1:5" ht="13.2" x14ac:dyDescent="0.25">
      <c r="A61" s="18" t="s">
        <v>47</v>
      </c>
      <c r="B61" s="18"/>
      <c r="C61" s="18"/>
      <c r="D61" s="18"/>
      <c r="E61" s="18"/>
    </row>
    <row r="62" spans="1:5" ht="13.2" x14ac:dyDescent="0.25">
      <c r="B62" s="1">
        <v>17</v>
      </c>
      <c r="C62" s="1" t="s">
        <v>11</v>
      </c>
      <c r="D62" s="9" t="s">
        <v>56</v>
      </c>
    </row>
    <row r="63" spans="1:5" ht="13.2" x14ac:dyDescent="0.25">
      <c r="B63" s="1"/>
      <c r="C63" s="1" t="s">
        <v>35</v>
      </c>
      <c r="D63" s="9" t="s">
        <v>57</v>
      </c>
    </row>
    <row r="64" spans="1:5" ht="13.2" x14ac:dyDescent="0.25">
      <c r="C64" s="7" t="s">
        <v>50</v>
      </c>
      <c r="E64" s="9" t="s">
        <v>58</v>
      </c>
    </row>
    <row r="65" spans="1:8" ht="15.75" customHeight="1" x14ac:dyDescent="0.25">
      <c r="A65" s="18" t="s">
        <v>59</v>
      </c>
      <c r="B65" s="18"/>
      <c r="C65" s="18"/>
      <c r="D65" s="18"/>
      <c r="E65" s="18"/>
    </row>
    <row r="66" spans="1:8" ht="13.2" x14ac:dyDescent="0.25">
      <c r="B66" s="1">
        <v>18</v>
      </c>
      <c r="C66" s="1" t="s">
        <v>50</v>
      </c>
      <c r="D66" s="9">
        <f>SUM(E67:E78)</f>
        <v>3704404.45</v>
      </c>
    </row>
    <row r="67" spans="1:8" ht="13.2" x14ac:dyDescent="0.25">
      <c r="C67" s="7" t="s">
        <v>60</v>
      </c>
      <c r="E67" s="9">
        <v>831000</v>
      </c>
    </row>
    <row r="68" spans="1:8" ht="13.2" x14ac:dyDescent="0.25">
      <c r="C68" s="7" t="s">
        <v>61</v>
      </c>
      <c r="E68" s="9">
        <v>1700000</v>
      </c>
    </row>
    <row r="69" spans="1:8" ht="13.2" x14ac:dyDescent="0.25">
      <c r="C69" s="7" t="s">
        <v>38</v>
      </c>
      <c r="E69" s="9">
        <v>200000</v>
      </c>
    </row>
    <row r="70" spans="1:8" ht="13.2" x14ac:dyDescent="0.25">
      <c r="C70" s="7" t="s">
        <v>23</v>
      </c>
      <c r="E70" s="9">
        <v>184150</v>
      </c>
    </row>
    <row r="71" spans="1:8" ht="13.2" x14ac:dyDescent="0.25">
      <c r="C71" s="7" t="s">
        <v>39</v>
      </c>
      <c r="E71" s="9">
        <v>463125</v>
      </c>
    </row>
    <row r="72" spans="1:8" ht="13.2" x14ac:dyDescent="0.25">
      <c r="C72" s="7" t="s">
        <v>14</v>
      </c>
      <c r="E72" s="9">
        <v>51750</v>
      </c>
      <c r="G72" s="24"/>
      <c r="H72" s="24"/>
    </row>
    <row r="73" spans="1:8" ht="13.2" x14ac:dyDescent="0.25">
      <c r="C73" s="7" t="s">
        <v>15</v>
      </c>
      <c r="E73" s="11">
        <v>3450</v>
      </c>
    </row>
    <row r="74" spans="1:8" ht="13.2" x14ac:dyDescent="0.25">
      <c r="C74" s="7" t="s">
        <v>29</v>
      </c>
      <c r="E74" s="9">
        <v>160</v>
      </c>
    </row>
    <row r="75" spans="1:8" ht="13.2" x14ac:dyDescent="0.25">
      <c r="C75" s="7" t="s">
        <v>40</v>
      </c>
      <c r="E75" s="9">
        <v>21361.95</v>
      </c>
    </row>
    <row r="76" spans="1:8" ht="13.2" x14ac:dyDescent="0.25">
      <c r="C76" s="7" t="s">
        <v>42</v>
      </c>
      <c r="E76" s="9">
        <v>9247.5</v>
      </c>
    </row>
    <row r="77" spans="1:8" ht="13.2" x14ac:dyDescent="0.25">
      <c r="C77" s="7" t="s">
        <v>28</v>
      </c>
      <c r="E77" s="9">
        <v>150160</v>
      </c>
    </row>
    <row r="78" spans="1:8" ht="13.2" x14ac:dyDescent="0.25">
      <c r="C78" s="7" t="s">
        <v>33</v>
      </c>
      <c r="E78" s="9">
        <v>90000</v>
      </c>
    </row>
    <row r="79" spans="1:8" ht="15.75" customHeight="1" x14ac:dyDescent="0.25">
      <c r="A79" s="18" t="s">
        <v>83</v>
      </c>
      <c r="B79" s="18"/>
      <c r="C79" s="18"/>
      <c r="D79" s="18"/>
      <c r="E79" s="18"/>
    </row>
    <row r="80" spans="1:8" ht="13.2" x14ac:dyDescent="0.25">
      <c r="B80" s="1">
        <v>19</v>
      </c>
      <c r="C80" s="1" t="s">
        <v>5</v>
      </c>
      <c r="D80" s="9">
        <v>524300</v>
      </c>
    </row>
    <row r="81" spans="1:5" ht="13.2" x14ac:dyDescent="0.25">
      <c r="C81" s="7" t="s">
        <v>50</v>
      </c>
      <c r="E81" s="9">
        <v>524300</v>
      </c>
    </row>
    <row r="82" spans="1:5" ht="15.75" customHeight="1" x14ac:dyDescent="0.25">
      <c r="A82" s="18" t="s">
        <v>84</v>
      </c>
      <c r="B82" s="18"/>
      <c r="C82" s="18"/>
      <c r="D82" s="18"/>
      <c r="E82" s="18"/>
    </row>
    <row r="83" spans="1:5" ht="13.2" x14ac:dyDescent="0.25">
      <c r="B83" s="1">
        <v>20</v>
      </c>
      <c r="C83" s="1" t="s">
        <v>50</v>
      </c>
      <c r="D83" s="9">
        <v>512042.3</v>
      </c>
    </row>
    <row r="84" spans="1:5" ht="13.2" x14ac:dyDescent="0.25">
      <c r="C84" s="7" t="s">
        <v>18</v>
      </c>
      <c r="E84" s="9">
        <f>D83</f>
        <v>512042.3</v>
      </c>
    </row>
    <row r="85" spans="1:5" ht="15.75" customHeight="1" x14ac:dyDescent="0.25">
      <c r="A85" s="18" t="s">
        <v>62</v>
      </c>
      <c r="B85" s="18"/>
      <c r="C85" s="18"/>
      <c r="D85" s="18"/>
      <c r="E85" s="18"/>
    </row>
    <row r="86" spans="1:5" ht="13.2" x14ac:dyDescent="0.25">
      <c r="B86" s="1">
        <v>21</v>
      </c>
      <c r="C86" s="1" t="s">
        <v>50</v>
      </c>
      <c r="D86" s="9">
        <v>801896.55</v>
      </c>
    </row>
    <row r="87" spans="1:5" ht="13.2" x14ac:dyDescent="0.25">
      <c r="C87" s="7" t="s">
        <v>63</v>
      </c>
      <c r="E87" s="9">
        <v>801896.55</v>
      </c>
    </row>
    <row r="88" spans="1:5" ht="30.6" customHeight="1" x14ac:dyDescent="0.25">
      <c r="A88" s="20" t="s">
        <v>64</v>
      </c>
      <c r="B88" s="20"/>
      <c r="C88" s="20"/>
      <c r="D88" s="20"/>
      <c r="E88" s="20"/>
    </row>
  </sheetData>
  <mergeCells count="22">
    <mergeCell ref="G72:H72"/>
    <mergeCell ref="A85:E85"/>
    <mergeCell ref="A79:E79"/>
    <mergeCell ref="A88:E88"/>
    <mergeCell ref="A65:E65"/>
    <mergeCell ref="A82:E82"/>
    <mergeCell ref="A58:E58"/>
    <mergeCell ref="A61:E61"/>
    <mergeCell ref="A5:E5"/>
    <mergeCell ref="A10:E10"/>
    <mergeCell ref="A15:E15"/>
    <mergeCell ref="A19:E19"/>
    <mergeCell ref="A23:E23"/>
    <mergeCell ref="A49:E49"/>
    <mergeCell ref="A52:E52"/>
    <mergeCell ref="A55:E55"/>
    <mergeCell ref="A27:E27"/>
    <mergeCell ref="A31:E31"/>
    <mergeCell ref="A34:E34"/>
    <mergeCell ref="A38:E38"/>
    <mergeCell ref="A43:E43"/>
    <mergeCell ref="A46:E4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A28" sqref="A28"/>
    </sheetView>
  </sheetViews>
  <sheetFormatPr baseColWidth="10" defaultRowHeight="13.2" x14ac:dyDescent="0.25"/>
  <cols>
    <col min="1" max="1" width="39.88671875" customWidth="1"/>
    <col min="2" max="2" width="16" customWidth="1"/>
  </cols>
  <sheetData>
    <row r="1" spans="1:2" x14ac:dyDescent="0.25">
      <c r="A1" s="12" t="s">
        <v>2</v>
      </c>
      <c r="B1" s="12" t="s">
        <v>66</v>
      </c>
    </row>
    <row r="2" spans="1:2" x14ac:dyDescent="0.25">
      <c r="A2" t="s">
        <v>85</v>
      </c>
      <c r="B2" s="25">
        <v>3250000</v>
      </c>
    </row>
    <row r="3" spans="1:2" x14ac:dyDescent="0.25">
      <c r="A3" t="s">
        <v>86</v>
      </c>
      <c r="B3" s="25">
        <v>732000</v>
      </c>
    </row>
    <row r="4" spans="1:2" x14ac:dyDescent="0.25">
      <c r="A4" t="s">
        <v>87</v>
      </c>
      <c r="B4" s="25">
        <v>3982000</v>
      </c>
    </row>
    <row r="5" spans="1:2" x14ac:dyDescent="0.25">
      <c r="A5" t="s">
        <v>88</v>
      </c>
      <c r="B5" t="s">
        <v>89</v>
      </c>
    </row>
    <row r="6" spans="1:2" x14ac:dyDescent="0.25">
      <c r="A6" t="s">
        <v>90</v>
      </c>
      <c r="B6" s="25">
        <v>-831000</v>
      </c>
    </row>
    <row r="7" spans="1:2" x14ac:dyDescent="0.25">
      <c r="A7" t="s">
        <v>91</v>
      </c>
      <c r="B7" s="25">
        <v>-1700000</v>
      </c>
    </row>
    <row r="8" spans="1:2" x14ac:dyDescent="0.25">
      <c r="A8" t="s">
        <v>92</v>
      </c>
      <c r="B8" s="25">
        <v>-90000</v>
      </c>
    </row>
    <row r="9" spans="1:2" x14ac:dyDescent="0.25">
      <c r="A9" t="s">
        <v>93</v>
      </c>
      <c r="B9" s="25">
        <v>524300</v>
      </c>
    </row>
    <row r="10" spans="1:2" x14ac:dyDescent="0.25">
      <c r="A10" t="s">
        <v>94</v>
      </c>
      <c r="B10" s="25">
        <v>-2096700</v>
      </c>
    </row>
    <row r="11" spans="1:2" x14ac:dyDescent="0.25">
      <c r="A11" t="s">
        <v>95</v>
      </c>
      <c r="B11" s="25">
        <v>1885300</v>
      </c>
    </row>
    <row r="12" spans="1:2" x14ac:dyDescent="0.25">
      <c r="A12" t="s">
        <v>96</v>
      </c>
      <c r="B12" t="s">
        <v>89</v>
      </c>
    </row>
    <row r="13" spans="1:2" x14ac:dyDescent="0.25">
      <c r="A13" t="s">
        <v>97</v>
      </c>
      <c r="B13" s="25">
        <v>-184150</v>
      </c>
    </row>
    <row r="14" spans="1:2" x14ac:dyDescent="0.25">
      <c r="A14" t="s">
        <v>98</v>
      </c>
      <c r="B14" s="25">
        <v>-463125</v>
      </c>
    </row>
    <row r="15" spans="1:2" x14ac:dyDescent="0.25">
      <c r="A15" t="s">
        <v>99</v>
      </c>
      <c r="B15" s="25">
        <v>-200000</v>
      </c>
    </row>
    <row r="16" spans="1:2" x14ac:dyDescent="0.25">
      <c r="A16" t="s">
        <v>100</v>
      </c>
      <c r="B16" s="25">
        <v>-55200</v>
      </c>
    </row>
    <row r="17" spans="1:2" x14ac:dyDescent="0.25">
      <c r="A17" t="s">
        <v>101</v>
      </c>
      <c r="B17">
        <v>-160</v>
      </c>
    </row>
    <row r="18" spans="1:2" x14ac:dyDescent="0.25">
      <c r="A18" t="s">
        <v>102</v>
      </c>
      <c r="B18" s="26">
        <v>-21361.95</v>
      </c>
    </row>
    <row r="19" spans="1:2" x14ac:dyDescent="0.25">
      <c r="A19" t="s">
        <v>103</v>
      </c>
      <c r="B19" s="26">
        <v>-9247.5</v>
      </c>
    </row>
    <row r="20" spans="1:2" x14ac:dyDescent="0.25">
      <c r="A20" t="s">
        <v>104</v>
      </c>
      <c r="B20" s="25">
        <v>-150160</v>
      </c>
    </row>
    <row r="21" spans="1:2" x14ac:dyDescent="0.25">
      <c r="A21" t="s">
        <v>105</v>
      </c>
      <c r="B21" s="26">
        <v>-1083403.45</v>
      </c>
    </row>
    <row r="22" spans="1:2" x14ac:dyDescent="0.25">
      <c r="A22" t="s">
        <v>106</v>
      </c>
      <c r="B22" s="26">
        <v>801896.55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C30" sqref="A30:C36"/>
    </sheetView>
  </sheetViews>
  <sheetFormatPr baseColWidth="10" defaultRowHeight="13.2" x14ac:dyDescent="0.25"/>
  <cols>
    <col min="3" max="3" width="37.109375" customWidth="1"/>
  </cols>
  <sheetData>
    <row r="1" spans="1:5" x14ac:dyDescent="0.25">
      <c r="A1" s="3" t="s">
        <v>0</v>
      </c>
      <c r="B1" s="1" t="s">
        <v>1</v>
      </c>
      <c r="C1" s="1" t="s">
        <v>2</v>
      </c>
      <c r="D1" s="9" t="s">
        <v>3</v>
      </c>
      <c r="E1" s="9" t="s">
        <v>4</v>
      </c>
    </row>
    <row r="2" spans="1:5" x14ac:dyDescent="0.25">
      <c r="A2" s="2"/>
      <c r="B2" s="1">
        <v>17</v>
      </c>
      <c r="C2" s="1" t="s">
        <v>48</v>
      </c>
      <c r="D2" s="9" t="s">
        <v>49</v>
      </c>
      <c r="E2" s="10"/>
    </row>
    <row r="3" spans="1:5" x14ac:dyDescent="0.25">
      <c r="A3" s="2"/>
      <c r="C3" s="7" t="s">
        <v>50</v>
      </c>
      <c r="D3" s="10"/>
      <c r="E3" s="9" t="s">
        <v>49</v>
      </c>
    </row>
    <row r="4" spans="1:5" x14ac:dyDescent="0.25">
      <c r="A4" s="18" t="s">
        <v>51</v>
      </c>
      <c r="B4" s="18"/>
      <c r="C4" s="18"/>
      <c r="D4" s="18"/>
      <c r="E4" s="18"/>
    </row>
    <row r="5" spans="1:5" x14ac:dyDescent="0.25">
      <c r="A5" s="2"/>
      <c r="B5" s="1">
        <v>18</v>
      </c>
      <c r="C5" s="1" t="s">
        <v>50</v>
      </c>
      <c r="D5" s="9" t="s">
        <v>52</v>
      </c>
      <c r="E5" s="10"/>
    </row>
    <row r="6" spans="1:5" x14ac:dyDescent="0.25">
      <c r="A6" s="2"/>
      <c r="C6" s="7" t="s">
        <v>48</v>
      </c>
      <c r="D6" s="10"/>
      <c r="E6" s="9" t="s">
        <v>52</v>
      </c>
    </row>
    <row r="7" spans="1:5" x14ac:dyDescent="0.25">
      <c r="A7" s="18" t="s">
        <v>53</v>
      </c>
      <c r="B7" s="18"/>
      <c r="C7" s="18"/>
      <c r="D7" s="18"/>
      <c r="E7" s="18"/>
    </row>
    <row r="8" spans="1:5" x14ac:dyDescent="0.25">
      <c r="A8" s="2"/>
      <c r="B8" s="1">
        <v>19</v>
      </c>
      <c r="C8" s="1" t="s">
        <v>48</v>
      </c>
      <c r="D8" s="9" t="s">
        <v>54</v>
      </c>
      <c r="E8" s="10"/>
    </row>
    <row r="9" spans="1:5" x14ac:dyDescent="0.25">
      <c r="A9" s="2"/>
      <c r="C9" s="7" t="s">
        <v>50</v>
      </c>
      <c r="D9" s="10"/>
      <c r="E9" s="9" t="s">
        <v>54</v>
      </c>
    </row>
    <row r="10" spans="1:5" x14ac:dyDescent="0.25">
      <c r="A10" s="18" t="s">
        <v>55</v>
      </c>
      <c r="B10" s="18"/>
      <c r="C10" s="18"/>
      <c r="D10" s="18"/>
      <c r="E10" s="18"/>
    </row>
  </sheetData>
  <mergeCells count="3">
    <mergeCell ref="A4:E4"/>
    <mergeCell ref="A7:E7"/>
    <mergeCell ref="A10:E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5"/>
  <sheetViews>
    <sheetView tabSelected="1" topLeftCell="A8" workbookViewId="0">
      <selection activeCell="D20" sqref="D20"/>
    </sheetView>
  </sheetViews>
  <sheetFormatPr baseColWidth="10" defaultColWidth="12.6640625" defaultRowHeight="15.75" customHeight="1" x14ac:dyDescent="0.25"/>
  <cols>
    <col min="1" max="1" width="30.5546875" style="13" bestFit="1" customWidth="1"/>
    <col min="2" max="2" width="13" style="13" bestFit="1" customWidth="1"/>
    <col min="3" max="3" width="4.77734375" style="13" customWidth="1"/>
    <col min="4" max="4" width="20.33203125" style="13" customWidth="1"/>
    <col min="5" max="16384" width="12.6640625" style="13"/>
  </cols>
  <sheetData>
    <row r="1" spans="1:6" ht="13.2" x14ac:dyDescent="0.25">
      <c r="A1" s="15" t="s">
        <v>81</v>
      </c>
      <c r="B1" s="15" t="s">
        <v>66</v>
      </c>
      <c r="D1"/>
      <c r="E1"/>
    </row>
    <row r="2" spans="1:6" ht="13.2" x14ac:dyDescent="0.25">
      <c r="A2" s="15" t="s">
        <v>79</v>
      </c>
      <c r="D2"/>
      <c r="E2"/>
    </row>
    <row r="3" spans="1:6" ht="13.2" x14ac:dyDescent="0.25">
      <c r="A3" s="15" t="s">
        <v>77</v>
      </c>
      <c r="B3" s="27">
        <v>2593765</v>
      </c>
      <c r="D3"/>
      <c r="E3" s="25"/>
      <c r="F3" s="16"/>
    </row>
    <row r="4" spans="1:6" ht="13.2" x14ac:dyDescent="0.25">
      <c r="A4" s="15" t="s">
        <v>9</v>
      </c>
      <c r="B4" s="27">
        <v>704550</v>
      </c>
      <c r="D4"/>
      <c r="E4" s="25"/>
      <c r="F4" s="16"/>
    </row>
    <row r="5" spans="1:6" ht="13.2" x14ac:dyDescent="0.25">
      <c r="A5" s="15" t="s">
        <v>10</v>
      </c>
      <c r="B5" s="27">
        <v>70000</v>
      </c>
      <c r="D5"/>
      <c r="E5" s="25"/>
      <c r="F5" s="16"/>
    </row>
    <row r="6" spans="1:6" ht="13.2" x14ac:dyDescent="0.25">
      <c r="A6" s="15" t="s">
        <v>76</v>
      </c>
      <c r="B6" s="27">
        <v>-21361.95</v>
      </c>
      <c r="D6"/>
      <c r="E6" s="26"/>
      <c r="F6" s="16"/>
    </row>
    <row r="7" spans="1:6" ht="13.2" x14ac:dyDescent="0.25">
      <c r="A7" s="15" t="s">
        <v>5</v>
      </c>
      <c r="B7" s="21">
        <v>524300</v>
      </c>
      <c r="D7"/>
      <c r="E7" s="25"/>
      <c r="F7" s="16"/>
    </row>
    <row r="8" spans="1:6" ht="13.2" x14ac:dyDescent="0.25">
      <c r="A8" s="15" t="s">
        <v>72</v>
      </c>
      <c r="B8" s="27">
        <f>SUM(B3:B7)</f>
        <v>3871253.05</v>
      </c>
      <c r="D8"/>
      <c r="E8" s="26"/>
      <c r="F8" s="16"/>
    </row>
    <row r="9" spans="1:6" ht="13.2" x14ac:dyDescent="0.25">
      <c r="A9" s="15" t="s">
        <v>71</v>
      </c>
      <c r="B9" s="28"/>
      <c r="D9"/>
      <c r="E9"/>
      <c r="F9" s="16"/>
    </row>
    <row r="10" spans="1:6" ht="13.2" x14ac:dyDescent="0.25">
      <c r="A10" s="15" t="s">
        <v>20</v>
      </c>
      <c r="B10" s="27">
        <v>81050</v>
      </c>
      <c r="D10"/>
      <c r="E10" s="25"/>
      <c r="F10" s="16"/>
    </row>
    <row r="11" spans="1:6" ht="13.2" x14ac:dyDescent="0.25">
      <c r="A11" s="15" t="s">
        <v>70</v>
      </c>
      <c r="B11" s="27">
        <v>-29447.5</v>
      </c>
      <c r="D11"/>
      <c r="E11" s="26"/>
      <c r="F11" s="16"/>
    </row>
    <row r="12" spans="1:6" ht="13.2" x14ac:dyDescent="0.25">
      <c r="A12" s="15" t="s">
        <v>69</v>
      </c>
      <c r="B12" s="27">
        <f>SUM(B10:B11)</f>
        <v>51602.5</v>
      </c>
      <c r="D12"/>
      <c r="E12" s="26"/>
      <c r="F12" s="16"/>
    </row>
    <row r="13" spans="1:6" ht="13.2" x14ac:dyDescent="0.25">
      <c r="A13" s="15" t="s">
        <v>68</v>
      </c>
      <c r="B13" s="27">
        <f>+B8+B12</f>
        <v>3922855.55</v>
      </c>
      <c r="D13"/>
      <c r="E13" s="26"/>
      <c r="F13" s="16"/>
    </row>
    <row r="17" spans="1:6" ht="15.75" customHeight="1" x14ac:dyDescent="0.25">
      <c r="A17" s="15" t="s">
        <v>80</v>
      </c>
      <c r="B17" s="15" t="s">
        <v>66</v>
      </c>
      <c r="D17"/>
      <c r="E17"/>
    </row>
    <row r="18" spans="1:6" ht="15.75" customHeight="1" x14ac:dyDescent="0.25">
      <c r="A18" s="15" t="s">
        <v>78</v>
      </c>
      <c r="D18"/>
      <c r="E18"/>
    </row>
    <row r="19" spans="1:6" ht="15.75" customHeight="1" x14ac:dyDescent="0.25">
      <c r="A19" s="15" t="s">
        <v>6</v>
      </c>
      <c r="B19" s="14">
        <v>293550</v>
      </c>
      <c r="D19"/>
      <c r="E19" s="25"/>
      <c r="F19" s="16"/>
    </row>
    <row r="20" spans="1:6" ht="15.75" customHeight="1" x14ac:dyDescent="0.25">
      <c r="A20" s="15" t="s">
        <v>16</v>
      </c>
      <c r="B20" s="14">
        <v>80000</v>
      </c>
      <c r="D20"/>
      <c r="E20" s="25"/>
      <c r="F20" s="16"/>
    </row>
    <row r="21" spans="1:6" ht="15.75" customHeight="1" x14ac:dyDescent="0.25">
      <c r="A21" s="15" t="s">
        <v>13</v>
      </c>
      <c r="B21" s="14">
        <v>370000</v>
      </c>
      <c r="D21"/>
      <c r="E21" s="25"/>
      <c r="F21" s="16"/>
    </row>
    <row r="22" spans="1:6" ht="15.75" customHeight="1" x14ac:dyDescent="0.25">
      <c r="A22" s="15" t="s">
        <v>75</v>
      </c>
      <c r="B22" s="14">
        <f>SUM(B19:B21)</f>
        <v>743550</v>
      </c>
      <c r="D22"/>
      <c r="E22" s="25"/>
      <c r="F22" s="16"/>
    </row>
    <row r="23" spans="1:6" ht="15.75" customHeight="1" x14ac:dyDescent="0.25">
      <c r="A23" s="15" t="s">
        <v>74</v>
      </c>
      <c r="D23"/>
      <c r="E23"/>
      <c r="F23" s="16"/>
    </row>
    <row r="24" spans="1:6" ht="15.75" customHeight="1" x14ac:dyDescent="0.25">
      <c r="A24" s="15" t="s">
        <v>73</v>
      </c>
      <c r="B24" s="14">
        <v>1400000</v>
      </c>
      <c r="D24"/>
      <c r="E24" s="25"/>
      <c r="F24" s="16"/>
    </row>
    <row r="25" spans="1:6" ht="15.75" customHeight="1" x14ac:dyDescent="0.25">
      <c r="A25" s="15" t="s">
        <v>63</v>
      </c>
      <c r="B25" s="26">
        <v>1779305.55</v>
      </c>
      <c r="D25"/>
      <c r="E25" s="26"/>
      <c r="F25" s="16"/>
    </row>
    <row r="26" spans="1:6" ht="15.75" customHeight="1" x14ac:dyDescent="0.25">
      <c r="A26" s="17" t="s">
        <v>82</v>
      </c>
      <c r="B26" s="14">
        <f>+B24+B25</f>
        <v>3179305.55</v>
      </c>
      <c r="D26"/>
      <c r="E26" s="26"/>
      <c r="F26" s="16"/>
    </row>
    <row r="27" spans="1:6" ht="15.75" customHeight="1" x14ac:dyDescent="0.25">
      <c r="D27"/>
      <c r="E27" s="26"/>
      <c r="F27" s="16"/>
    </row>
    <row r="28" spans="1:6" ht="15.75" customHeight="1" x14ac:dyDescent="0.25">
      <c r="A28" s="15" t="s">
        <v>67</v>
      </c>
      <c r="B28" s="14">
        <f>+B22+B26</f>
        <v>3922855.55</v>
      </c>
    </row>
    <row r="30" spans="1:6" ht="15.75" customHeight="1" x14ac:dyDescent="0.25">
      <c r="B30" s="16">
        <f>B28-B13</f>
        <v>0</v>
      </c>
    </row>
    <row r="31" spans="1:6" customFormat="1" ht="13.2" x14ac:dyDescent="0.25">
      <c r="A31" s="13"/>
      <c r="B31" s="13"/>
    </row>
    <row r="32" spans="1:6" customFormat="1" ht="13.2" x14ac:dyDescent="0.25">
      <c r="A32" s="13"/>
      <c r="B32" s="13"/>
    </row>
    <row r="33" spans="1:2" customFormat="1" ht="13.2" x14ac:dyDescent="0.25">
      <c r="A33" s="13"/>
      <c r="B33" s="13"/>
    </row>
    <row r="34" spans="1:2" customFormat="1" ht="13.2" x14ac:dyDescent="0.25">
      <c r="A34" s="13"/>
      <c r="B34" s="13"/>
    </row>
    <row r="35" spans="1:2" customFormat="1" ht="13.2" x14ac:dyDescent="0.25">
      <c r="A35" s="13"/>
      <c r="B35" s="13"/>
    </row>
    <row r="36" spans="1:2" customFormat="1" ht="13.2" x14ac:dyDescent="0.25">
      <c r="A36" s="13"/>
      <c r="B36" s="13"/>
    </row>
    <row r="37" spans="1:2" customFormat="1" ht="13.2" x14ac:dyDescent="0.25">
      <c r="A37" s="13"/>
      <c r="B37" s="13"/>
    </row>
    <row r="38" spans="1:2" customFormat="1" ht="13.2" x14ac:dyDescent="0.25">
      <c r="A38" s="13"/>
      <c r="B38" s="13"/>
    </row>
    <row r="39" spans="1:2" customFormat="1" ht="13.2" x14ac:dyDescent="0.25">
      <c r="A39" s="13"/>
      <c r="B39" s="13"/>
    </row>
    <row r="40" spans="1:2" customFormat="1" ht="13.2" x14ac:dyDescent="0.25">
      <c r="A40" s="13"/>
      <c r="B40" s="13"/>
    </row>
    <row r="41" spans="1:2" customFormat="1" ht="13.2" x14ac:dyDescent="0.25">
      <c r="A41" s="13"/>
      <c r="B41" s="13"/>
    </row>
    <row r="42" spans="1:2" customFormat="1" ht="13.2" x14ac:dyDescent="0.25">
      <c r="A42" s="13"/>
      <c r="B42" s="13"/>
    </row>
    <row r="43" spans="1:2" customFormat="1" ht="13.2" x14ac:dyDescent="0.25">
      <c r="A43" s="13"/>
      <c r="B43" s="13"/>
    </row>
    <row r="44" spans="1:2" customFormat="1" ht="13.2" x14ac:dyDescent="0.25">
      <c r="A44" t="s">
        <v>89</v>
      </c>
      <c r="B44" t="s">
        <v>89</v>
      </c>
    </row>
    <row r="45" spans="1:2" customFormat="1" ht="13.2" x14ac:dyDescent="0.25">
      <c r="A45" s="13"/>
      <c r="B45" s="13"/>
    </row>
    <row r="46" spans="1:2" customFormat="1" ht="13.2" x14ac:dyDescent="0.25">
      <c r="A46" s="13"/>
      <c r="B46" s="13"/>
    </row>
    <row r="47" spans="1:2" customFormat="1" ht="13.2" x14ac:dyDescent="0.25">
      <c r="A47" s="13"/>
      <c r="B47" s="13"/>
    </row>
    <row r="48" spans="1:2" customFormat="1" ht="13.2" x14ac:dyDescent="0.25">
      <c r="A48" s="13"/>
      <c r="B48" s="13"/>
    </row>
    <row r="49" spans="1:2" customFormat="1" ht="13.2" x14ac:dyDescent="0.25">
      <c r="A49" s="13"/>
      <c r="B49" s="13"/>
    </row>
    <row r="50" spans="1:2" customFormat="1" ht="13.2" x14ac:dyDescent="0.25">
      <c r="A50" s="13"/>
      <c r="B50" s="13"/>
    </row>
    <row r="51" spans="1:2" customFormat="1" ht="13.2" x14ac:dyDescent="0.25">
      <c r="A51" s="13"/>
      <c r="B51" s="13"/>
    </row>
    <row r="52" spans="1:2" customFormat="1" ht="13.2" x14ac:dyDescent="0.25">
      <c r="A52" s="13"/>
      <c r="B52" s="13"/>
    </row>
    <row r="53" spans="1:2" customFormat="1" ht="13.2" x14ac:dyDescent="0.25">
      <c r="A53" s="13"/>
      <c r="B53" s="13"/>
    </row>
    <row r="54" spans="1:2" customFormat="1" ht="13.2" x14ac:dyDescent="0.25">
      <c r="A54" s="13"/>
      <c r="B54" s="13"/>
    </row>
    <row r="55" spans="1:2" customFormat="1" ht="13.2" x14ac:dyDescent="0.25">
      <c r="A55" s="13"/>
      <c r="B5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Casa Central - Caracas</vt:lpstr>
      <vt:lpstr>Estado de Resultado</vt:lpstr>
      <vt:lpstr>Ajuste</vt:lpstr>
      <vt:lpstr>Balance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CLEMENTE</dc:creator>
  <cp:lastModifiedBy>FRANK CLEMENTE</cp:lastModifiedBy>
  <dcterms:created xsi:type="dcterms:W3CDTF">2025-10-12T18:41:16Z</dcterms:created>
  <dcterms:modified xsi:type="dcterms:W3CDTF">2025-10-12T21:56:28Z</dcterms:modified>
</cp:coreProperties>
</file>